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akotonoely\Desktop\github\Transaction2Toi\data\fake\"/>
    </mc:Choice>
  </mc:AlternateContent>
  <xr:revisionPtr revIDLastSave="0" documentId="13_ncr:1_{3D4A800F-B40F-4552-ADC2-5EFB45D63CEC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recap_rz" sheetId="4" r:id="rId1"/>
    <sheet name="details_appro_rz" sheetId="6" r:id="rId2"/>
    <sheet name="details_cp" sheetId="5" r:id="rId3"/>
    <sheet name="Weekly Evolu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808" i="5" s="1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D3" i="5"/>
  <c r="D4" i="5"/>
  <c r="D5" i="5"/>
  <c r="D6" i="5"/>
  <c r="D7" i="5"/>
  <c r="D8" i="5"/>
  <c r="D9" i="5"/>
  <c r="D10" i="5"/>
  <c r="D11" i="5"/>
  <c r="D808" i="5" s="1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E3" i="5"/>
  <c r="E4" i="5"/>
  <c r="E5" i="5"/>
  <c r="E808" i="5" s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" i="4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N808" i="5"/>
  <c r="M808" i="5"/>
  <c r="L808" i="5"/>
  <c r="K808" i="5"/>
  <c r="J808" i="5"/>
  <c r="I808" i="5"/>
  <c r="H808" i="5"/>
  <c r="G808" i="5"/>
  <c r="F808" i="5"/>
  <c r="B808" i="5"/>
</calcChain>
</file>

<file path=xl/sharedStrings.xml><?xml version="1.0" encoding="utf-8"?>
<sst xmlns="http://schemas.openxmlformats.org/spreadsheetml/2006/main" count="3572" uniqueCount="95">
  <si>
    <t>Evolution weekly CP Servis 4 dernières semaines</t>
  </si>
  <si>
    <t>APPRO CASH + UME RZ</t>
  </si>
  <si>
    <t>APPRO CASH + UME TDP</t>
  </si>
  <si>
    <t>APPRO CASH + UME TDP et RZ</t>
  </si>
  <si>
    <t>Evolution weekly MONTANT APPRO 4 dernières semaines</t>
  </si>
  <si>
    <t>Evolution WEEKLY CP Servis format tableau</t>
  </si>
  <si>
    <t>Evolution WEEKLY MONTANT APPRO format tableau</t>
  </si>
  <si>
    <t>WEEK_START</t>
  </si>
  <si>
    <t>NOM_TDP</t>
  </si>
  <si>
    <t>ND_TDP</t>
  </si>
  <si>
    <t>ND_RZ</t>
  </si>
  <si>
    <t>NOM</t>
  </si>
  <si>
    <t>PRENOM</t>
  </si>
  <si>
    <t>REGION</t>
  </si>
  <si>
    <t>VILLE</t>
  </si>
  <si>
    <t>ND_CP_APPRO</t>
  </si>
  <si>
    <t>APPRO_CASH</t>
  </si>
  <si>
    <t>APPRO_UME</t>
  </si>
  <si>
    <t>MONTANT_CI</t>
  </si>
  <si>
    <t>AGENTS_DE_TDP_LIVE_SERVICES</t>
  </si>
  <si>
    <t>TANA_CENTRE_II</t>
  </si>
  <si>
    <t>ANTANANARIVO</t>
  </si>
  <si>
    <t>EST</t>
  </si>
  <si>
    <t>TOAMASINA</t>
  </si>
  <si>
    <t>TANA_NORD</t>
  </si>
  <si>
    <t>TANA_CENTRE_I</t>
  </si>
  <si>
    <t>TANA_EST</t>
  </si>
  <si>
    <t>ND_CP</t>
  </si>
  <si>
    <t>APPRO_UME_RZ</t>
  </si>
  <si>
    <t>APPRO_CASH_RZ</t>
  </si>
  <si>
    <t>WEEK START</t>
  </si>
  <si>
    <t>NOM TDP</t>
  </si>
  <si>
    <t>ND CP</t>
  </si>
  <si>
    <t>NOM CP</t>
  </si>
  <si>
    <t>PRENOM CP</t>
  </si>
  <si>
    <t>APPRO UME TDP</t>
  </si>
  <si>
    <t>APPRO CASH TDP</t>
  </si>
  <si>
    <t>APPRO UME RZ</t>
  </si>
  <si>
    <t>APPRO CASH RZ</t>
  </si>
  <si>
    <t>MONTANT CI</t>
  </si>
  <si>
    <t>MONTANT CO</t>
  </si>
  <si>
    <t>MONTANT CI SHOP</t>
  </si>
  <si>
    <t>TANA_SUD</t>
  </si>
  <si>
    <t>MIADANANDRIANA</t>
  </si>
  <si>
    <t>AMBATOLAMPY</t>
  </si>
  <si>
    <t>AMBOHIPIHAONANA ANM</t>
  </si>
  <si>
    <t>MANTASOA</t>
  </si>
  <si>
    <t>MANJAKANDRIANA</t>
  </si>
  <si>
    <t>SUD_EST</t>
  </si>
  <si>
    <t>IFATSY</t>
  </si>
  <si>
    <t xml:space="preserve">MERIKANJAKA </t>
  </si>
  <si>
    <t>TANA_OUEST</t>
  </si>
  <si>
    <t>FARAFANGANA</t>
  </si>
  <si>
    <t>AMBOHINAVELA</t>
  </si>
  <si>
    <t>AMBATONDRAZAKA</t>
  </si>
  <si>
    <t>TALATA VOLONONDRY</t>
  </si>
  <si>
    <t>FOULPOINTE</t>
  </si>
  <si>
    <t>MORAMANGA</t>
  </si>
  <si>
    <t>ANTSAMPANANA</t>
  </si>
  <si>
    <t>ANGAVOKELY</t>
  </si>
  <si>
    <t>TANAMBE</t>
  </si>
  <si>
    <t>ITASY</t>
  </si>
  <si>
    <t>BABETVILLE</t>
  </si>
  <si>
    <t>ANJEVA</t>
  </si>
  <si>
    <t>ANDRIAMPAMAKY</t>
  </si>
  <si>
    <t>RANOVAO</t>
  </si>
  <si>
    <t>ANJOMA BETOHO</t>
  </si>
  <si>
    <t>MANDRAKA</t>
  </si>
  <si>
    <t>AMPASIMPOTSY</t>
  </si>
  <si>
    <t>AMBATOLAONA</t>
  </si>
  <si>
    <t>MANDRITSARA</t>
  </si>
  <si>
    <t>ANTSAKABARY</t>
  </si>
  <si>
    <t>ANTANIMASAKA</t>
  </si>
  <si>
    <t>AMBODISATRANA ANJ</t>
  </si>
  <si>
    <t>MANGAMILA</t>
  </si>
  <si>
    <t>AMPAHIMANGA</t>
  </si>
  <si>
    <t>AMBOHIDANERANA</t>
  </si>
  <si>
    <t>AMBALAVOLO ATS</t>
  </si>
  <si>
    <t>VATOMANDRY</t>
  </si>
  <si>
    <t>BRICKAVILLE</t>
  </si>
  <si>
    <t>TDP</t>
  </si>
  <si>
    <t>RZ</t>
  </si>
  <si>
    <t>CASH POINT</t>
  </si>
  <si>
    <t>TOTAL</t>
  </si>
  <si>
    <t>WEEK</t>
  </si>
  <si>
    <t>NB CP SERVIS VIA RZ</t>
  </si>
  <si>
    <t>NB CP SERVIS VIA TDP</t>
  </si>
  <si>
    <t>NB CP SERVIS VIA TDP RZ CONONDU</t>
  </si>
  <si>
    <t>S50</t>
  </si>
  <si>
    <t>S51</t>
  </si>
  <si>
    <t>S52</t>
  </si>
  <si>
    <t>S1</t>
  </si>
  <si>
    <t>S2</t>
  </si>
  <si>
    <t>APPRO CASH RZ+TDP</t>
  </si>
  <si>
    <t>APPRO UME RZ+TDP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</si>
</sst>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#\ ###\ ###\ ###\ ##0"/>
  </numFmts>
  <fonts count="10" x14ac:knownFonts="1">
    <font>
      <sz val="11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rgb="FF000000"/>
      <name val="Montserrat"/>
    </font>
    <font>
      <sz val="7"/>
      <color rgb="FF000000"/>
      <name val="Montserrat"/>
    </font>
    <font>
      <sz val="11"/>
      <color rgb="FF000000"/>
      <name val="Montserrat"/>
    </font>
    <font>
      <b/>
      <u/>
      <sz val="11"/>
      <color rgb="FF000000"/>
      <name val="Montserrat"/>
    </font>
    <font>
      <sz val="8"/>
      <color theme="0"/>
      <name val="Montserrat"/>
    </font>
    <font>
      <b/>
      <sz val="11"/>
      <color rgb="FF000000"/>
      <name val="Calibri"/>
    </font>
    <font>
      <sz val="11"/>
      <color rgb="FF000000"/>
      <name val="Calibri"/>
    </font>
    <font>
      <b/>
      <sz val="7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2" borderId="0" xfId="0" applyFont="1" applyFill="1"/>
    <xf numFmtId="14" fontId="8" fillId="0" borderId="0" xfId="0" applyNumberFormat="1" applyFont="1"/>
    <xf numFmtId="165" fontId="8" fillId="0" borderId="0" xfId="0" applyNumberFormat="1" applyFont="1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/>
    <xf numFmtId="165" fontId="7" fillId="0" borderId="0" xfId="0" applyNumberFormat="1" applyFont="1"/>
    <xf numFmtId="0" fontId="0" fillId="0" borderId="0" xfId="0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Evolution'!$B$4</c:f>
              <c:strCache>
                <c:ptCount val="1"/>
                <c:pt idx="0">
                  <c:v>NB CP SERVIS VIA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Evolution'!$B$6:$B$9</c:f>
              <c:numCache>
                <c:formatCode>General</c:formatCode>
                <c:ptCount val="4"/>
                <c:pt idx="0">
                  <c:v>407</c:v>
                </c:pt>
                <c:pt idx="1">
                  <c:v>377</c:v>
                </c:pt>
                <c:pt idx="2">
                  <c:v>362</c:v>
                </c:pt>
                <c:pt idx="3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Evolution'!$C$4</c:f>
              <c:strCache>
                <c:ptCount val="1"/>
                <c:pt idx="0">
                  <c:v>NB CP SERVIS VIA TDP</c:v>
                </c:pt>
              </c:strCache>
            </c:strRef>
          </c:tx>
          <c:spPr>
            <a:solidFill>
              <a:srgbClr val="94D053"/>
            </a:solidFill>
            <a:ln>
              <a:solidFill>
                <a:srgbClr val="94D05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Evolution'!$C$6:$C$9</c:f>
              <c:numCache>
                <c:formatCode>General</c:formatCode>
                <c:ptCount val="4"/>
                <c:pt idx="0">
                  <c:v>85</c:v>
                </c:pt>
                <c:pt idx="1">
                  <c:v>78</c:v>
                </c:pt>
                <c:pt idx="2">
                  <c:v>56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 RZ CONFONDU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Evolution'!$D$4</c:f>
              <c:strCache>
                <c:ptCount val="1"/>
                <c:pt idx="0">
                  <c:v>NB CP SERVIS VIA TDP RZ CONONDU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Evolution'!$D$6:$D$9</c:f>
              <c:numCache>
                <c:formatCode>General</c:formatCode>
                <c:ptCount val="4"/>
                <c:pt idx="0">
                  <c:v>465</c:v>
                </c:pt>
                <c:pt idx="1">
                  <c:v>434</c:v>
                </c:pt>
                <c:pt idx="2">
                  <c:v>401</c:v>
                </c:pt>
                <c:pt idx="3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Evolution'!$B$13</c:f>
              <c:strCache>
                <c:ptCount val="1"/>
                <c:pt idx="0">
                  <c:v>APPRO CASH RZ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Evolution'!$B$15:$B$18</c:f>
              <c:numCache>
                <c:formatCode>#\ ###\ ###\ ###\ ##0</c:formatCode>
                <c:ptCount val="4"/>
                <c:pt idx="0">
                  <c:v>2462070994</c:v>
                </c:pt>
                <c:pt idx="1">
                  <c:v>2257966837</c:v>
                </c:pt>
                <c:pt idx="2">
                  <c:v>1682084400</c:v>
                </c:pt>
                <c:pt idx="3">
                  <c:v>1853031037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B-4A1C-8E67-25BA0DD5020E}"/>
            </c:ext>
          </c:extLst>
        </c:ser>
        <c:ser>
          <c:idx val="1"/>
          <c:order val="1"/>
          <c:tx>
            <c:strRef>
              <c:f>'Weekly Evolution'!$C$13</c:f>
              <c:strCache>
                <c:ptCount val="1"/>
                <c:pt idx="0">
                  <c:v>APPRO UME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Evolution'!$C$15:$C$18</c:f>
              <c:numCache>
                <c:formatCode>#\ ###\ ###\ ###\ ##0</c:formatCode>
                <c:ptCount val="4"/>
                <c:pt idx="0">
                  <c:v>4195911529</c:v>
                </c:pt>
                <c:pt idx="1">
                  <c:v>3548155869</c:v>
                </c:pt>
                <c:pt idx="2">
                  <c:v>2523368499</c:v>
                </c:pt>
                <c:pt idx="3">
                  <c:v>2975291318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157936"/>
        <c:axId val="1512158768"/>
      </c:barChart>
      <c:lineChart>
        <c:grouping val="standard"/>
        <c:varyColors val="0"/>
        <c:ser>
          <c:idx val="2"/>
          <c:order val="2"/>
          <c:tx>
            <c:strRef>
              <c:f>'Weekly Evolution'!$H$13</c:f>
              <c:strCache>
                <c:ptCount val="1"/>
                <c:pt idx="0">
                  <c:v>APPRO CASH + UME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  <c:pt idx="4">
                  <c:v>S2</c:v>
                </c:pt>
              </c:strCache>
            </c:strRef>
          </c:cat>
          <c:val>
            <c:numRef>
              <c:f>'Weekly Evolution'!$H$15:$H$18</c:f>
              <c:numCache>
                <c:formatCode>_-* #,##0_-;\-* #,##0_-;_-* "-"??_-;_-@_-</c:formatCode>
                <c:ptCount val="4"/>
                <c:pt idx="0">
                  <c:v>6657982523</c:v>
                </c:pt>
                <c:pt idx="1">
                  <c:v>5806122706</c:v>
                </c:pt>
                <c:pt idx="2">
                  <c:v>4205452899</c:v>
                </c:pt>
                <c:pt idx="3">
                  <c:v>4828322355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157936"/>
        <c:axId val="1512158768"/>
      </c:lineChart>
      <c:catAx>
        <c:axId val="15121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8768"/>
        <c:crosses val="autoZero"/>
        <c:auto val="1"/>
        <c:lblAlgn val="ctr"/>
        <c:lblOffset val="100"/>
        <c:noMultiLvlLbl val="0"/>
      </c:catAx>
      <c:valAx>
        <c:axId val="15121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79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Evolution'!$D$13</c:f>
              <c:strCache>
                <c:ptCount val="1"/>
                <c:pt idx="0">
                  <c:v>APPRO CASH TDP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Evolution'!$D$15:$D$18</c:f>
              <c:numCache>
                <c:formatCode>#\ ###\ ###\ ###\ ##0</c:formatCode>
                <c:ptCount val="4"/>
                <c:pt idx="0">
                  <c:v>1843223100</c:v>
                </c:pt>
                <c:pt idx="1">
                  <c:v>1665572300</c:v>
                </c:pt>
                <c:pt idx="2">
                  <c:v>856072600</c:v>
                </c:pt>
                <c:pt idx="3">
                  <c:v>1451093800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C-43F3-A927-848AD0572413}"/>
            </c:ext>
          </c:extLst>
        </c:ser>
        <c:ser>
          <c:idx val="1"/>
          <c:order val="1"/>
          <c:tx>
            <c:strRef>
              <c:f>'Weekly Evolution'!$E$13</c:f>
              <c:strCache>
                <c:ptCount val="1"/>
                <c:pt idx="0">
                  <c:v>APPRO UME 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Evolution'!$E$15:$E$18</c:f>
              <c:numCache>
                <c:formatCode>#\ ###\ ###\ ###\ ##0</c:formatCode>
                <c:ptCount val="4"/>
                <c:pt idx="0">
                  <c:v>1072542000</c:v>
                </c:pt>
                <c:pt idx="1">
                  <c:v>911310700</c:v>
                </c:pt>
                <c:pt idx="2">
                  <c:v>546067500</c:v>
                </c:pt>
                <c:pt idx="3">
                  <c:v>1575167850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248592"/>
        <c:axId val="1651258496"/>
      </c:barChart>
      <c:lineChart>
        <c:grouping val="standard"/>
        <c:varyColors val="0"/>
        <c:ser>
          <c:idx val="2"/>
          <c:order val="2"/>
          <c:tx>
            <c:strRef>
              <c:f>'Weekly Evolution'!$I$13</c:f>
              <c:strCache>
                <c:ptCount val="1"/>
                <c:pt idx="0">
                  <c:v>APPRO CASH + UME TDP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  <c:pt idx="4">
                  <c:v>S2</c:v>
                </c:pt>
              </c:strCache>
            </c:strRef>
          </c:cat>
          <c:val>
            <c:numRef>
              <c:f>'Weekly Evolution'!$I$15:$I$18</c:f>
              <c:numCache>
                <c:formatCode>_-* #,##0_-;\-* #,##0_-;_-* "-"??_-;_-@_-</c:formatCode>
                <c:ptCount val="4"/>
                <c:pt idx="0">
                  <c:v>2915765100</c:v>
                </c:pt>
                <c:pt idx="1">
                  <c:v>2576883000</c:v>
                </c:pt>
                <c:pt idx="2">
                  <c:v>1402140100</c:v>
                </c:pt>
                <c:pt idx="3">
                  <c:v>3026261650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4248592"/>
        <c:axId val="1651258496"/>
      </c:lineChart>
      <c:catAx>
        <c:axId val="16542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1258496"/>
        <c:crosses val="autoZero"/>
        <c:auto val="1"/>
        <c:lblAlgn val="ctr"/>
        <c:lblOffset val="100"/>
        <c:noMultiLvlLbl val="0"/>
      </c:catAx>
      <c:valAx>
        <c:axId val="16512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42485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CASH+UME TDP et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Evolution'!$F$13</c:f>
              <c:strCache>
                <c:ptCount val="1"/>
                <c:pt idx="0">
                  <c:v>APPRO CASH RZ+TDP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0B-47A5-A35B-044C50CA199B}"/>
              </c:ext>
            </c:extLst>
          </c:dPt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Evolution'!$F$15:$F$18</c:f>
              <c:numCache>
                <c:formatCode>#\ ###\ ###\ ###\ ##0</c:formatCode>
                <c:ptCount val="4"/>
                <c:pt idx="0">
                  <c:v>4305294094</c:v>
                </c:pt>
                <c:pt idx="1">
                  <c:v>3923539137</c:v>
                </c:pt>
                <c:pt idx="2">
                  <c:v>2538157000</c:v>
                </c:pt>
                <c:pt idx="3">
                  <c:v>3304124837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717-A659-7287AD7F46FC}"/>
            </c:ext>
          </c:extLst>
        </c:ser>
        <c:ser>
          <c:idx val="1"/>
          <c:order val="1"/>
          <c:tx>
            <c:strRef>
              <c:f>'Weekly Evolution'!$G$13</c:f>
              <c:strCache>
                <c:ptCount val="1"/>
                <c:pt idx="0">
                  <c:v>APPRO UME RZ+TDP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S51</c:v>
                </c:pt>
                <c:pt idx="1">
                  <c:v>S52</c:v>
                </c:pt>
                <c:pt idx="2">
                  <c:v>S1</c:v>
                </c:pt>
                <c:pt idx="3">
                  <c:v>S2</c:v>
                </c:pt>
              </c:strCache>
            </c:strRef>
          </c:cat>
          <c:val>
            <c:numRef>
              <c:f>'Weekly Evolution'!$G$15:$G$18</c:f>
              <c:numCache>
                <c:formatCode>#\ ###\ ###\ ###\ ##0</c:formatCode>
                <c:ptCount val="4"/>
                <c:pt idx="0">
                  <c:v>5268453529</c:v>
                </c:pt>
                <c:pt idx="1">
                  <c:v>4459466569</c:v>
                </c:pt>
                <c:pt idx="2">
                  <c:v>3069435999</c:v>
                </c:pt>
                <c:pt idx="3">
                  <c:v>4550459168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2416416"/>
        <c:axId val="1652424320"/>
      </c:barChart>
      <c:lineChart>
        <c:grouping val="standard"/>
        <c:varyColors val="0"/>
        <c:ser>
          <c:idx val="2"/>
          <c:order val="2"/>
          <c:tx>
            <c:strRef>
              <c:f>'Weekly Evolution'!$J$13</c:f>
              <c:strCache>
                <c:ptCount val="1"/>
                <c:pt idx="0">
                  <c:v>APPRO CASH + UME TDP et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  <c:pt idx="4">
                  <c:v>S2</c:v>
                </c:pt>
              </c:strCache>
            </c:strRef>
          </c:cat>
          <c:val>
            <c:numRef>
              <c:f>'Weekly Evolution'!$J$15:$J$18</c:f>
              <c:numCache>
                <c:formatCode>_-* #,##0_-;\-* #,##0_-;_-* "-"??_-;_-@_-</c:formatCode>
                <c:ptCount val="4"/>
                <c:pt idx="0">
                  <c:v>9573747623</c:v>
                </c:pt>
                <c:pt idx="1">
                  <c:v>8383005706</c:v>
                </c:pt>
                <c:pt idx="2">
                  <c:v>5607592999</c:v>
                </c:pt>
                <c:pt idx="3">
                  <c:v>7854584005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2416416"/>
        <c:axId val="1652424320"/>
      </c:lineChart>
      <c:catAx>
        <c:axId val="16524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24320"/>
        <c:crosses val="autoZero"/>
        <c:auto val="1"/>
        <c:lblAlgn val="ctr"/>
        <c:lblOffset val="100"/>
        <c:noMultiLvlLbl val="0"/>
      </c:catAx>
      <c:valAx>
        <c:axId val="16524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164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744220</xdr:colOff>
      <xdr:row>2</xdr:row>
      <xdr:rowOff>200660</xdr:rowOff>
    </xdr:from>
    <xdr:to>
      <xdr:col>12</xdr:col>
      <xdr:colOff>403860</xdr:colOff>
      <xdr:row>8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16A9EB6-825D-43CF-B1A7-50C87E6E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</xdr:colOff>
      <xdr:row>2</xdr:row>
      <xdr:rowOff>185419</xdr:rowOff>
    </xdr:from>
    <xdr:to>
      <xdr:col>16</xdr:col>
      <xdr:colOff>754380</xdr:colOff>
      <xdr:row>8</xdr:row>
      <xdr:rowOff>9518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7C1EEF-0800-41C1-A718-B5F032EE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441960</xdr:colOff>
      <xdr:row>2</xdr:row>
      <xdr:rowOff>160019</xdr:rowOff>
    </xdr:from>
    <xdr:to>
      <xdr:col>21</xdr:col>
      <xdr:colOff>441960</xdr:colOff>
      <xdr:row>7</xdr:row>
      <xdr:rowOff>201288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FFF0536-E151-4289-B265-0755851D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760730</xdr:colOff>
      <xdr:row>12</xdr:row>
      <xdr:rowOff>1270</xdr:rowOff>
    </xdr:from>
    <xdr:to>
      <xdr:col>12</xdr:col>
      <xdr:colOff>495300</xdr:colOff>
      <xdr:row>20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9980308-1469-49FC-8429-335E138E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62230</xdr:colOff>
      <xdr:row>11</xdr:row>
      <xdr:rowOff>208280</xdr:rowOff>
    </xdr:from>
    <xdr:to>
      <xdr:col>17</xdr:col>
      <xdr:colOff>449580</xdr:colOff>
      <xdr:row>21</xdr:row>
      <xdr:rowOff>17780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3094380-4673-4D08-B0AA-FE7539F0F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518160</xdr:colOff>
      <xdr:row>11</xdr:row>
      <xdr:rowOff>203200</xdr:rowOff>
    </xdr:from>
    <xdr:to>
      <xdr:col>22</xdr:col>
      <xdr:colOff>579120</xdr:colOff>
      <xdr:row>21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B5B8C24-98B5-456D-9D5B-221F97D4F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CC41B-0486-44CC-BD97-D56DA8B927EC}" name="Table1" displayName="Table1" ref="A1:J459" totalsRowShown="0" headerRowDxfId="22">
  <autoFilter ref="A1:J459" xr:uid="{74FCC41B-0486-44CC-BD97-D56DA8B927EC}">
    <filterColumn colId="2">
      <filters>
        <filter val="343413182"/>
        <filter val="345412260"/>
      </filters>
    </filterColumn>
  </autoFilter>
  <tableColumns count="10">
    <tableColumn id="1" xr3:uid="{C12A0660-B761-4F46-BD69-3A4723EFEBBB}" name="WEEK_START" dataDxfId="21"/>
    <tableColumn id="2" xr3:uid="{2D2952BA-5EEB-4583-971F-A8DC52B1000A}" name="NOM_TDP"/>
    <tableColumn id="3" xr3:uid="{35501D7A-9048-480A-8F5D-90567279BFBB}" name="ND_RZ" dataDxfId="6">
      <calculatedColumnFormula xml:space="preserve"> "342856178" &amp; ROW()</calculatedColumnFormula>
    </tableColumn>
    <tableColumn id="4" xr3:uid="{DA85A29D-7DB3-408C-B801-30AC8B792D58}" name="ND_CP" dataDxfId="5">
      <calculatedColumnFormula xml:space="preserve"> "3798512613" &amp; ROW()</calculatedColumnFormula>
    </tableColumn>
    <tableColumn id="5" xr3:uid="{8AB1F703-28E0-471C-95FD-C7664B0EE17C}" name="NOM" dataDxfId="4">
      <calculatedColumnFormula>"Client"&amp;ROW()</calculatedColumnFormula>
    </tableColumn>
    <tableColumn id="6" xr3:uid="{F6A2451D-F94C-425A-9996-90DD6882A190}" name="PRENOM" dataDxfId="3">
      <calculatedColumnFormula>"BOB"&amp;ROW()</calculatedColumnFormula>
    </tableColumn>
    <tableColumn id="7" xr3:uid="{16A39627-745F-4C6C-8D44-BAC3C6C2B9BA}" name="REGION"/>
    <tableColumn id="8" xr3:uid="{7D7082ED-32CE-44AF-8EA8-F580FD6D09A2}" name="VILLE"/>
    <tableColumn id="9" xr3:uid="{32205C22-897D-4465-80CE-887BE96FA4EE}" name="APPRO_UME_RZ" dataDxfId="20"/>
    <tableColumn id="10" xr3:uid="{1EC190C8-8671-459D-9EBF-070A056F979A}" name="APPRO_CASH_RZ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5F9C7-9473-4779-BA90-696E72B449B5}" name="Table2" displayName="Table2" ref="A2:N807" totalsRowShown="0" headerRowDxfId="18" dataDxfId="17" tableBorderDxfId="16">
  <autoFilter ref="A2:N807" xr:uid="{82E5F9C7-9473-4779-BA90-696E72B449B5}"/>
  <tableColumns count="14">
    <tableColumn id="1" xr3:uid="{76A86FDA-A206-46EA-932C-28A7DCC2ECF3}" name="WEEK START" dataDxfId="15"/>
    <tableColumn id="2" xr3:uid="{61E1259F-D1D2-47BE-B160-2AEB90BC93B1}" name="NOM TDP"/>
    <tableColumn id="3" xr3:uid="{8A1288F6-218A-43D2-94F8-12AA65912283}" name="ND CP" dataDxfId="0">
      <calculatedColumnFormula xml:space="preserve"> "3798512613" &amp; ROW()</calculatedColumnFormula>
    </tableColumn>
    <tableColumn id="4" xr3:uid="{DED2A2CB-09D5-4C4F-ACF6-24F5DFE76B8F}" name="NOM CP" dataDxfId="1">
      <calculatedColumnFormula>"Client"&amp;ROW()</calculatedColumnFormula>
    </tableColumn>
    <tableColumn id="5" xr3:uid="{B6FFDF2C-C7EE-49AE-BC04-A5132D81FB63}" name="PRENOM CP" dataDxfId="2">
      <calculatedColumnFormula>"BOB"&amp;ROW()</calculatedColumnFormula>
    </tableColumn>
    <tableColumn id="6" xr3:uid="{3CB99F13-5580-4367-9E20-3718CD2042B2}" name="REGION"/>
    <tableColumn id="7" xr3:uid="{DD53EE3D-FE47-4BEF-BBA0-F631591F732D}" name="VILLE" dataDxfId="14"/>
    <tableColumn id="8" xr3:uid="{D9BEEB83-F106-4477-9447-3B73EEC1ACF5}" name="APPRO UME TDP" dataDxfId="13"/>
    <tableColumn id="9" xr3:uid="{05170CB4-F457-4D65-B7CB-8BCD00A06D8A}" name="APPRO CASH TDP" dataDxfId="12"/>
    <tableColumn id="10" xr3:uid="{6B368AF2-6248-4210-819F-184315103E80}" name="APPRO UME RZ" dataDxfId="11"/>
    <tableColumn id="11" xr3:uid="{A3B99FE5-224A-49A9-BB7F-4EFD63C15149}" name="APPRO CASH RZ" dataDxfId="10"/>
    <tableColumn id="12" xr3:uid="{AD977E9D-3127-4A15-AE86-C83B93270CB7}" name="MONTANT CI" dataDxfId="9"/>
    <tableColumn id="13" xr3:uid="{B869C17D-E49C-4707-888E-1CD5B85B64AB}" name="MONTANT CO" dataDxfId="8"/>
    <tableColumn id="14" xr3:uid="{0FAA7C95-15E3-4178-846F-FBF5A0DC3DAD}" name="MONTANT CI SHOP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F2" sqref="F2"/>
    </sheetView>
  </sheetViews>
  <sheetFormatPr defaultColWidth="11.5546875" defaultRowHeight="14.4" x14ac:dyDescent="0.3"/>
  <cols>
    <col min="1" max="1" width="10.6640625" customWidth="1"/>
    <col min="2" max="2" width="27.6640625" customWidth="1"/>
    <col min="3" max="3" width="14.109375" customWidth="1"/>
    <col min="4" max="4" width="9.6640625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1.6640625" customWidth="1"/>
    <col min="10" max="10" width="10.6640625" customWidth="1"/>
    <col min="11" max="11" width="9.6640625" customWidth="1"/>
    <col min="12" max="12" width="10.6640625" customWidth="1"/>
  </cols>
  <sheetData>
    <row r="1" spans="1:12" x14ac:dyDescent="0.3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spans="1:12" x14ac:dyDescent="0.3">
      <c r="A2" s="10">
        <v>46027</v>
      </c>
      <c r="B2" t="s">
        <v>19</v>
      </c>
      <c r="C2">
        <v>34044564621</v>
      </c>
      <c r="D2" t="str">
        <f xml:space="preserve"> "342856178" &amp; ROW()</f>
        <v>3428561782</v>
      </c>
      <c r="E2" t="str">
        <f>"Client"&amp;ROW()</f>
        <v>Client2</v>
      </c>
      <c r="F2" t="str">
        <f>"BOB"&amp;ROW()</f>
        <v>BOB2</v>
      </c>
      <c r="G2" t="s">
        <v>20</v>
      </c>
      <c r="H2" t="s">
        <v>21</v>
      </c>
      <c r="I2" s="11">
        <v>21</v>
      </c>
      <c r="J2" s="11">
        <v>28999500</v>
      </c>
      <c r="K2" s="11">
        <v>940236000</v>
      </c>
      <c r="L2" s="11">
        <v>0</v>
      </c>
    </row>
    <row r="3" spans="1:12" x14ac:dyDescent="0.3">
      <c r="A3" s="10">
        <v>46027</v>
      </c>
      <c r="B3" t="s">
        <v>19</v>
      </c>
      <c r="C3">
        <v>34044564621</v>
      </c>
      <c r="D3" t="str">
        <f t="shared" ref="D3:D27" si="0" xml:space="preserve"> "342856178" &amp; ROW()</f>
        <v>3428561783</v>
      </c>
      <c r="E3" t="str">
        <f t="shared" ref="E3:E27" si="1">"Client"&amp;ROW()</f>
        <v>Client3</v>
      </c>
      <c r="F3" t="str">
        <f t="shared" ref="F3:F27" si="2">"BOB"&amp;ROW()</f>
        <v>BOB3</v>
      </c>
      <c r="G3" t="s">
        <v>22</v>
      </c>
      <c r="H3" t="s">
        <v>23</v>
      </c>
      <c r="I3" s="11">
        <v>70</v>
      </c>
      <c r="J3" s="11">
        <v>520859940</v>
      </c>
      <c r="K3" s="11">
        <v>349471700</v>
      </c>
      <c r="L3" s="11">
        <v>0</v>
      </c>
    </row>
    <row r="4" spans="1:12" x14ac:dyDescent="0.3">
      <c r="A4" s="10">
        <v>46027</v>
      </c>
      <c r="B4" t="s">
        <v>19</v>
      </c>
      <c r="C4">
        <v>34044564621</v>
      </c>
      <c r="D4" t="str">
        <f t="shared" si="0"/>
        <v>3428561784</v>
      </c>
      <c r="E4" t="str">
        <f t="shared" si="1"/>
        <v>Client4</v>
      </c>
      <c r="F4" t="str">
        <f t="shared" si="2"/>
        <v>BOB4</v>
      </c>
      <c r="G4" t="s">
        <v>24</v>
      </c>
      <c r="H4" t="s">
        <v>21</v>
      </c>
      <c r="I4" s="11">
        <v>25</v>
      </c>
      <c r="J4" s="11">
        <v>217480900</v>
      </c>
      <c r="K4" s="11">
        <v>214400000</v>
      </c>
      <c r="L4" s="11">
        <v>0</v>
      </c>
    </row>
    <row r="5" spans="1:12" x14ac:dyDescent="0.3">
      <c r="A5" s="10">
        <v>46027</v>
      </c>
      <c r="B5" t="s">
        <v>19</v>
      </c>
      <c r="C5">
        <v>34044564621</v>
      </c>
      <c r="D5" t="str">
        <f t="shared" si="0"/>
        <v>3428561785</v>
      </c>
      <c r="E5" t="str">
        <f t="shared" si="1"/>
        <v>Client5</v>
      </c>
      <c r="F5" t="str">
        <f t="shared" si="2"/>
        <v>BOB5</v>
      </c>
      <c r="G5" t="s">
        <v>25</v>
      </c>
      <c r="H5" t="s">
        <v>21</v>
      </c>
      <c r="I5" s="11">
        <v>26</v>
      </c>
      <c r="J5" s="11">
        <v>232071600</v>
      </c>
      <c r="K5" s="11">
        <v>209292500</v>
      </c>
      <c r="L5" s="11">
        <v>0</v>
      </c>
    </row>
    <row r="6" spans="1:12" x14ac:dyDescent="0.3">
      <c r="A6" s="10">
        <v>46027</v>
      </c>
      <c r="B6" t="s">
        <v>19</v>
      </c>
      <c r="C6">
        <v>34044564621</v>
      </c>
      <c r="D6" t="str">
        <f t="shared" si="0"/>
        <v>3428561786</v>
      </c>
      <c r="E6" t="str">
        <f t="shared" si="1"/>
        <v>Client6</v>
      </c>
      <c r="F6" t="str">
        <f t="shared" si="2"/>
        <v>BOB6</v>
      </c>
      <c r="G6" t="s">
        <v>25</v>
      </c>
      <c r="H6" t="s">
        <v>21</v>
      </c>
      <c r="I6" s="11">
        <v>19</v>
      </c>
      <c r="J6" s="11">
        <v>132512000</v>
      </c>
      <c r="K6" s="11">
        <v>175740100</v>
      </c>
      <c r="L6" s="11">
        <v>0</v>
      </c>
    </row>
    <row r="7" spans="1:12" x14ac:dyDescent="0.3">
      <c r="A7" s="10">
        <v>46027</v>
      </c>
      <c r="B7" t="s">
        <v>19</v>
      </c>
      <c r="C7">
        <v>34044564621</v>
      </c>
      <c r="D7" t="str">
        <f t="shared" si="0"/>
        <v>3428561787</v>
      </c>
      <c r="E7" t="str">
        <f t="shared" si="1"/>
        <v>Client7</v>
      </c>
      <c r="F7" t="str">
        <f t="shared" si="2"/>
        <v>BOB7</v>
      </c>
      <c r="G7" t="s">
        <v>25</v>
      </c>
      <c r="H7" t="s">
        <v>21</v>
      </c>
      <c r="I7" s="11">
        <v>2</v>
      </c>
      <c r="J7" s="11">
        <v>200000</v>
      </c>
      <c r="K7" s="11">
        <v>148033150</v>
      </c>
      <c r="L7" s="11">
        <v>0</v>
      </c>
    </row>
    <row r="8" spans="1:12" x14ac:dyDescent="0.3">
      <c r="A8" s="10">
        <v>46027</v>
      </c>
      <c r="B8" t="s">
        <v>19</v>
      </c>
      <c r="C8">
        <v>34044564621</v>
      </c>
      <c r="D8" t="str">
        <f t="shared" si="0"/>
        <v>3428561788</v>
      </c>
      <c r="E8" t="str">
        <f t="shared" si="1"/>
        <v>Client8</v>
      </c>
      <c r="F8" t="str">
        <f t="shared" si="2"/>
        <v>BOB8</v>
      </c>
      <c r="G8" t="s">
        <v>24</v>
      </c>
      <c r="H8" t="s">
        <v>21</v>
      </c>
      <c r="I8" s="11">
        <v>45</v>
      </c>
      <c r="J8" s="11">
        <v>126152500</v>
      </c>
      <c r="K8" s="11">
        <v>124970000</v>
      </c>
      <c r="L8" s="11">
        <v>0</v>
      </c>
    </row>
    <row r="9" spans="1:12" x14ac:dyDescent="0.3">
      <c r="A9" s="10">
        <v>46027</v>
      </c>
      <c r="B9" t="s">
        <v>19</v>
      </c>
      <c r="C9">
        <v>34044564621</v>
      </c>
      <c r="D9" t="str">
        <f t="shared" si="0"/>
        <v>3428561789</v>
      </c>
      <c r="E9" t="str">
        <f t="shared" si="1"/>
        <v>Client9</v>
      </c>
      <c r="F9" t="str">
        <f t="shared" si="2"/>
        <v>BOB9</v>
      </c>
      <c r="G9" t="s">
        <v>20</v>
      </c>
      <c r="H9" t="s">
        <v>21</v>
      </c>
      <c r="I9" s="11">
        <v>6</v>
      </c>
      <c r="J9" s="11">
        <v>1220000</v>
      </c>
      <c r="K9" s="11">
        <v>123660000</v>
      </c>
      <c r="L9" s="11">
        <v>0</v>
      </c>
    </row>
    <row r="10" spans="1:12" x14ac:dyDescent="0.3">
      <c r="A10" s="10">
        <v>46027</v>
      </c>
      <c r="B10" t="s">
        <v>19</v>
      </c>
      <c r="C10">
        <v>34044564621</v>
      </c>
      <c r="D10" t="str">
        <f t="shared" si="0"/>
        <v>34285617810</v>
      </c>
      <c r="E10" t="str">
        <f t="shared" si="1"/>
        <v>Client10</v>
      </c>
      <c r="F10" t="str">
        <f t="shared" si="2"/>
        <v>BOB10</v>
      </c>
      <c r="G10" t="s">
        <v>25</v>
      </c>
      <c r="H10" t="s">
        <v>21</v>
      </c>
      <c r="I10" s="11">
        <v>41</v>
      </c>
      <c r="J10" s="11">
        <v>120426700</v>
      </c>
      <c r="K10" s="11">
        <v>120426200</v>
      </c>
      <c r="L10" s="11">
        <v>0</v>
      </c>
    </row>
    <row r="11" spans="1:12" x14ac:dyDescent="0.3">
      <c r="A11" s="10">
        <v>46027</v>
      </c>
      <c r="B11" t="s">
        <v>19</v>
      </c>
      <c r="C11">
        <v>34044564621</v>
      </c>
      <c r="D11" t="str">
        <f t="shared" si="0"/>
        <v>34285617811</v>
      </c>
      <c r="E11" t="str">
        <f t="shared" si="1"/>
        <v>Client11</v>
      </c>
      <c r="F11" t="str">
        <f t="shared" si="2"/>
        <v>BOB11</v>
      </c>
      <c r="G11" t="s">
        <v>25</v>
      </c>
      <c r="H11" t="s">
        <v>21</v>
      </c>
      <c r="I11" s="11">
        <v>35</v>
      </c>
      <c r="J11" s="11">
        <v>104672900</v>
      </c>
      <c r="K11" s="11">
        <v>103672900</v>
      </c>
      <c r="L11" s="11">
        <v>0</v>
      </c>
    </row>
    <row r="12" spans="1:12" x14ac:dyDescent="0.3">
      <c r="A12" s="10">
        <v>46027</v>
      </c>
      <c r="B12" t="s">
        <v>19</v>
      </c>
      <c r="C12">
        <v>34044564621</v>
      </c>
      <c r="D12" t="str">
        <f t="shared" si="0"/>
        <v>34285617812</v>
      </c>
      <c r="E12" t="str">
        <f t="shared" si="1"/>
        <v>Client12</v>
      </c>
      <c r="F12" t="str">
        <f t="shared" si="2"/>
        <v>BOB12</v>
      </c>
      <c r="G12" t="s">
        <v>26</v>
      </c>
      <c r="H12" t="s">
        <v>21</v>
      </c>
      <c r="I12" s="11">
        <v>23</v>
      </c>
      <c r="J12" s="11">
        <v>90317797</v>
      </c>
      <c r="K12" s="11">
        <v>87655000</v>
      </c>
      <c r="L12" s="11">
        <v>0</v>
      </c>
    </row>
    <row r="13" spans="1:12" x14ac:dyDescent="0.3">
      <c r="A13" s="10">
        <v>46027</v>
      </c>
      <c r="B13" t="s">
        <v>19</v>
      </c>
      <c r="C13">
        <v>34044564621</v>
      </c>
      <c r="D13" t="str">
        <f t="shared" si="0"/>
        <v>34285617813</v>
      </c>
      <c r="E13" t="str">
        <f t="shared" si="1"/>
        <v>Client13</v>
      </c>
      <c r="F13" t="str">
        <f t="shared" si="2"/>
        <v>BOB13</v>
      </c>
      <c r="I13" s="11">
        <v>31</v>
      </c>
      <c r="J13" s="11">
        <v>47419000</v>
      </c>
      <c r="K13" s="11">
        <v>79270000</v>
      </c>
      <c r="L13" s="11">
        <v>0</v>
      </c>
    </row>
    <row r="14" spans="1:12" x14ac:dyDescent="0.3">
      <c r="A14" s="10">
        <v>46027</v>
      </c>
      <c r="B14" t="s">
        <v>19</v>
      </c>
      <c r="C14">
        <v>34044564621</v>
      </c>
      <c r="D14" t="str">
        <f t="shared" si="0"/>
        <v>34285617814</v>
      </c>
      <c r="E14" t="str">
        <f t="shared" si="1"/>
        <v>Client14</v>
      </c>
      <c r="F14" t="str">
        <f t="shared" si="2"/>
        <v>BOB14</v>
      </c>
      <c r="G14" t="s">
        <v>20</v>
      </c>
      <c r="H14" t="s">
        <v>21</v>
      </c>
      <c r="I14" s="11">
        <v>17</v>
      </c>
      <c r="J14" s="11">
        <v>59763300</v>
      </c>
      <c r="K14" s="11">
        <v>59197000</v>
      </c>
      <c r="L14" s="11">
        <v>0</v>
      </c>
    </row>
    <row r="15" spans="1:12" x14ac:dyDescent="0.3">
      <c r="A15" s="10">
        <v>46027</v>
      </c>
      <c r="B15" t="s">
        <v>19</v>
      </c>
      <c r="C15">
        <v>34044564621</v>
      </c>
      <c r="D15" t="str">
        <f t="shared" si="0"/>
        <v>34285617815</v>
      </c>
      <c r="E15" t="str">
        <f t="shared" si="1"/>
        <v>Client15</v>
      </c>
      <c r="F15" t="str">
        <f t="shared" si="2"/>
        <v>BOB15</v>
      </c>
      <c r="G15" t="s">
        <v>20</v>
      </c>
      <c r="H15" t="s">
        <v>21</v>
      </c>
      <c r="I15" s="11">
        <v>18</v>
      </c>
      <c r="J15" s="11">
        <v>48600000</v>
      </c>
      <c r="K15" s="11">
        <v>58600000</v>
      </c>
      <c r="L15" s="11">
        <v>0</v>
      </c>
    </row>
    <row r="16" spans="1:12" x14ac:dyDescent="0.3">
      <c r="A16" s="10">
        <v>46027</v>
      </c>
      <c r="B16" t="s">
        <v>19</v>
      </c>
      <c r="C16">
        <v>34044564621</v>
      </c>
      <c r="D16" t="str">
        <f t="shared" si="0"/>
        <v>34285617816</v>
      </c>
      <c r="E16" t="str">
        <f t="shared" si="1"/>
        <v>Client16</v>
      </c>
      <c r="F16" t="str">
        <f t="shared" si="2"/>
        <v>BOB16</v>
      </c>
      <c r="G16" t="s">
        <v>24</v>
      </c>
      <c r="H16" t="s">
        <v>21</v>
      </c>
      <c r="I16" s="11">
        <v>8</v>
      </c>
      <c r="J16" s="11">
        <v>9000000</v>
      </c>
      <c r="K16" s="11">
        <v>46450000</v>
      </c>
      <c r="L16" s="11">
        <v>0</v>
      </c>
    </row>
    <row r="17" spans="1:12" x14ac:dyDescent="0.3">
      <c r="A17" s="10">
        <v>46027</v>
      </c>
      <c r="B17" t="s">
        <v>19</v>
      </c>
      <c r="C17">
        <v>34044564621</v>
      </c>
      <c r="D17" t="str">
        <f t="shared" si="0"/>
        <v>34285617817</v>
      </c>
      <c r="E17" t="str">
        <f t="shared" si="1"/>
        <v>Client17</v>
      </c>
      <c r="F17" t="str">
        <f t="shared" si="2"/>
        <v>BOB17</v>
      </c>
      <c r="G17" t="s">
        <v>20</v>
      </c>
      <c r="H17" t="s">
        <v>21</v>
      </c>
      <c r="I17" s="11">
        <v>6</v>
      </c>
      <c r="J17" s="11">
        <v>11706900</v>
      </c>
      <c r="K17" s="11">
        <v>32630000</v>
      </c>
      <c r="L17" s="11">
        <v>0</v>
      </c>
    </row>
    <row r="18" spans="1:12" x14ac:dyDescent="0.3">
      <c r="A18" s="10">
        <v>46027</v>
      </c>
      <c r="B18" t="s">
        <v>19</v>
      </c>
      <c r="C18">
        <v>34044564621</v>
      </c>
      <c r="D18" t="str">
        <f t="shared" si="0"/>
        <v>34285617818</v>
      </c>
      <c r="E18" t="str">
        <f t="shared" si="1"/>
        <v>Client18</v>
      </c>
      <c r="F18" t="str">
        <f t="shared" si="2"/>
        <v>BOB18</v>
      </c>
      <c r="I18" s="11">
        <v>19</v>
      </c>
      <c r="J18" s="11">
        <v>29400000</v>
      </c>
      <c r="K18" s="11">
        <v>29400000</v>
      </c>
      <c r="L18" s="11">
        <v>0</v>
      </c>
    </row>
    <row r="19" spans="1:12" x14ac:dyDescent="0.3">
      <c r="A19" s="10">
        <v>46027</v>
      </c>
      <c r="B19" t="s">
        <v>19</v>
      </c>
      <c r="C19">
        <v>34044564621</v>
      </c>
      <c r="D19" t="str">
        <f t="shared" si="0"/>
        <v>34285617819</v>
      </c>
      <c r="E19" t="str">
        <f t="shared" si="1"/>
        <v>Client19</v>
      </c>
      <c r="F19" t="str">
        <f t="shared" si="2"/>
        <v>BOB19</v>
      </c>
      <c r="G19" t="s">
        <v>20</v>
      </c>
      <c r="H19" t="s">
        <v>21</v>
      </c>
      <c r="I19" s="11">
        <v>5</v>
      </c>
      <c r="J19" s="11">
        <v>8823500</v>
      </c>
      <c r="K19" s="11">
        <v>18400000</v>
      </c>
      <c r="L19" s="11">
        <v>0</v>
      </c>
    </row>
    <row r="20" spans="1:12" x14ac:dyDescent="0.3">
      <c r="A20" s="10">
        <v>46027</v>
      </c>
      <c r="B20" t="s">
        <v>19</v>
      </c>
      <c r="C20">
        <v>34044564621</v>
      </c>
      <c r="D20" t="str">
        <f t="shared" si="0"/>
        <v>34285617820</v>
      </c>
      <c r="E20" t="str">
        <f t="shared" si="1"/>
        <v>Client20</v>
      </c>
      <c r="F20" t="str">
        <f t="shared" si="2"/>
        <v>BOB20</v>
      </c>
      <c r="G20" t="s">
        <v>25</v>
      </c>
      <c r="H20" t="s">
        <v>21</v>
      </c>
      <c r="I20" s="11">
        <v>5</v>
      </c>
      <c r="J20" s="11">
        <v>12400000</v>
      </c>
      <c r="K20" s="11">
        <v>12400000</v>
      </c>
      <c r="L20" s="11">
        <v>0</v>
      </c>
    </row>
    <row r="21" spans="1:12" x14ac:dyDescent="0.3">
      <c r="A21" s="10">
        <v>46027</v>
      </c>
      <c r="B21" t="s">
        <v>19</v>
      </c>
      <c r="C21">
        <v>34044564621</v>
      </c>
      <c r="D21" t="str">
        <f t="shared" si="0"/>
        <v>34285617821</v>
      </c>
      <c r="E21" t="str">
        <f t="shared" si="1"/>
        <v>Client21</v>
      </c>
      <c r="F21" t="str">
        <f t="shared" si="2"/>
        <v>BOB21</v>
      </c>
      <c r="G21" t="s">
        <v>20</v>
      </c>
      <c r="H21" t="s">
        <v>21</v>
      </c>
      <c r="I21" s="11">
        <v>5</v>
      </c>
      <c r="J21" s="11">
        <v>4351000</v>
      </c>
      <c r="K21" s="11">
        <v>12350000</v>
      </c>
      <c r="L21" s="11">
        <v>0</v>
      </c>
    </row>
    <row r="22" spans="1:12" x14ac:dyDescent="0.3">
      <c r="A22" s="10">
        <v>46027</v>
      </c>
      <c r="B22" t="s">
        <v>19</v>
      </c>
      <c r="C22">
        <v>34044564621</v>
      </c>
      <c r="D22" t="str">
        <f t="shared" si="0"/>
        <v>34285617822</v>
      </c>
      <c r="E22" t="str">
        <f t="shared" si="1"/>
        <v>Client22</v>
      </c>
      <c r="F22" t="str">
        <f t="shared" si="2"/>
        <v>BOB22</v>
      </c>
      <c r="G22" t="s">
        <v>22</v>
      </c>
      <c r="H22" t="s">
        <v>23</v>
      </c>
      <c r="I22" s="11">
        <v>1</v>
      </c>
      <c r="J22" s="11">
        <v>10800000</v>
      </c>
      <c r="K22" s="11">
        <v>10141768</v>
      </c>
      <c r="L22" s="11">
        <v>0</v>
      </c>
    </row>
    <row r="23" spans="1:12" x14ac:dyDescent="0.3">
      <c r="A23" s="10">
        <v>46027</v>
      </c>
      <c r="B23" t="s">
        <v>19</v>
      </c>
      <c r="C23">
        <v>34044564621</v>
      </c>
      <c r="D23" t="str">
        <f t="shared" si="0"/>
        <v>34285617823</v>
      </c>
      <c r="E23" t="str">
        <f t="shared" si="1"/>
        <v>Client23</v>
      </c>
      <c r="F23" t="str">
        <f t="shared" si="2"/>
        <v>BOB23</v>
      </c>
      <c r="G23" t="s">
        <v>20</v>
      </c>
      <c r="H23" t="s">
        <v>21</v>
      </c>
      <c r="I23" s="11">
        <v>8</v>
      </c>
      <c r="J23" s="11">
        <v>9715000</v>
      </c>
      <c r="K23" s="11">
        <v>9715000</v>
      </c>
      <c r="L23" s="11">
        <v>0</v>
      </c>
    </row>
    <row r="24" spans="1:12" x14ac:dyDescent="0.3">
      <c r="A24" s="10">
        <v>46027</v>
      </c>
      <c r="B24" t="s">
        <v>19</v>
      </c>
      <c r="C24">
        <v>34044564621</v>
      </c>
      <c r="D24" t="str">
        <f t="shared" si="0"/>
        <v>34285617824</v>
      </c>
      <c r="E24" t="str">
        <f t="shared" si="1"/>
        <v>Client24</v>
      </c>
      <c r="F24" t="str">
        <f t="shared" si="2"/>
        <v>BOB24</v>
      </c>
      <c r="G24" t="s">
        <v>25</v>
      </c>
      <c r="H24" t="s">
        <v>21</v>
      </c>
      <c r="I24" s="11">
        <v>8</v>
      </c>
      <c r="J24" s="11">
        <v>2500000</v>
      </c>
      <c r="K24" s="11">
        <v>4900000</v>
      </c>
      <c r="L24" s="11">
        <v>0</v>
      </c>
    </row>
    <row r="25" spans="1:12" x14ac:dyDescent="0.3">
      <c r="A25" s="10">
        <v>46027</v>
      </c>
      <c r="B25" t="s">
        <v>19</v>
      </c>
      <c r="C25">
        <v>34044564621</v>
      </c>
      <c r="D25" t="str">
        <f t="shared" si="0"/>
        <v>34285617825</v>
      </c>
      <c r="E25" t="str">
        <f t="shared" si="1"/>
        <v>Client25</v>
      </c>
      <c r="F25" t="str">
        <f t="shared" si="2"/>
        <v>BOB25</v>
      </c>
      <c r="I25" s="11">
        <v>2</v>
      </c>
      <c r="J25" s="11">
        <v>2500000</v>
      </c>
      <c r="K25" s="11">
        <v>2500000</v>
      </c>
      <c r="L25" s="11">
        <v>0</v>
      </c>
    </row>
    <row r="26" spans="1:12" x14ac:dyDescent="0.3">
      <c r="A26" s="10">
        <v>46027</v>
      </c>
      <c r="B26" t="s">
        <v>19</v>
      </c>
      <c r="C26">
        <v>34044564621</v>
      </c>
      <c r="D26" t="str">
        <f t="shared" si="0"/>
        <v>34285617826</v>
      </c>
      <c r="E26" t="str">
        <f t="shared" si="1"/>
        <v>Client26</v>
      </c>
      <c r="F26" t="str">
        <f t="shared" si="2"/>
        <v>BOB26</v>
      </c>
      <c r="G26" t="s">
        <v>20</v>
      </c>
      <c r="H26" t="s">
        <v>21</v>
      </c>
      <c r="I26" s="11">
        <v>4</v>
      </c>
      <c r="J26" s="11">
        <v>1500000</v>
      </c>
      <c r="K26" s="11">
        <v>1780000</v>
      </c>
      <c r="L26" s="11">
        <v>0</v>
      </c>
    </row>
    <row r="27" spans="1:12" x14ac:dyDescent="0.3">
      <c r="A27" s="10">
        <v>46027</v>
      </c>
      <c r="B27" t="s">
        <v>19</v>
      </c>
      <c r="C27">
        <v>34044564621</v>
      </c>
      <c r="D27" t="str">
        <f t="shared" si="0"/>
        <v>34285617827</v>
      </c>
      <c r="E27" t="str">
        <f t="shared" si="1"/>
        <v>Client27</v>
      </c>
      <c r="F27" t="str">
        <f t="shared" si="2"/>
        <v>BOB27</v>
      </c>
      <c r="G27" t="s">
        <v>20</v>
      </c>
      <c r="H27" t="s">
        <v>21</v>
      </c>
      <c r="I27" s="11">
        <v>7</v>
      </c>
      <c r="J27" s="11">
        <v>19018500</v>
      </c>
      <c r="K27" s="11">
        <v>0</v>
      </c>
      <c r="L27" s="11">
        <v>0</v>
      </c>
    </row>
    <row r="28" spans="1:12" x14ac:dyDescent="0.3">
      <c r="I28" s="11"/>
      <c r="J28" s="11"/>
      <c r="K28" s="11"/>
      <c r="L2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9"/>
  <sheetViews>
    <sheetView workbookViewId="0">
      <selection activeCell="D5" sqref="D5"/>
    </sheetView>
  </sheetViews>
  <sheetFormatPr defaultColWidth="11.5546875" defaultRowHeight="14.4" x14ac:dyDescent="0.3"/>
  <cols>
    <col min="1" max="1" width="14.109375" customWidth="1"/>
    <col min="2" max="2" width="27.6640625" customWidth="1"/>
    <col min="3" max="3" width="11.88671875" customWidth="1"/>
    <col min="4" max="4" width="13.109375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7" customWidth="1"/>
    <col min="10" max="10" width="17.44140625" customWidth="1"/>
  </cols>
  <sheetData>
    <row r="1" spans="1:10" x14ac:dyDescent="0.3">
      <c r="A1" s="9" t="s">
        <v>7</v>
      </c>
      <c r="B1" s="9" t="s">
        <v>8</v>
      </c>
      <c r="C1" s="9" t="s">
        <v>10</v>
      </c>
      <c r="D1" s="9" t="s">
        <v>27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28</v>
      </c>
      <c r="J1" s="9" t="s">
        <v>29</v>
      </c>
    </row>
    <row r="2" spans="1:10" hidden="1" x14ac:dyDescent="0.3">
      <c r="A2" s="10">
        <v>46027</v>
      </c>
      <c r="B2" t="s">
        <v>19</v>
      </c>
      <c r="C2" t="str">
        <f t="shared" ref="C2:C65" si="0" xml:space="preserve"> "342856178" &amp; ROW()</f>
        <v>3428561782</v>
      </c>
      <c r="D2" t="str">
        <f t="shared" ref="D2:D65" si="1" xml:space="preserve"> "3798512613" &amp; ROW()</f>
        <v>37985126132</v>
      </c>
      <c r="E2" t="str">
        <f t="shared" ref="E2:E65" si="2">"Client"&amp;ROW()</f>
        <v>Client2</v>
      </c>
      <c r="F2" t="str">
        <f t="shared" ref="F2:F65" si="3">"BOB"&amp;ROW()</f>
        <v>BOB2</v>
      </c>
      <c r="G2" t="s">
        <v>20</v>
      </c>
      <c r="H2" t="s">
        <v>21</v>
      </c>
      <c r="I2" s="11">
        <v>256025500</v>
      </c>
      <c r="J2" s="11">
        <v>0</v>
      </c>
    </row>
    <row r="3" spans="1:10" hidden="1" x14ac:dyDescent="0.3">
      <c r="A3" s="10">
        <v>46027</v>
      </c>
      <c r="B3" t="s">
        <v>19</v>
      </c>
      <c r="C3" t="str">
        <f t="shared" si="0"/>
        <v>3428561783</v>
      </c>
      <c r="D3" t="str">
        <f t="shared" si="1"/>
        <v>37985126133</v>
      </c>
      <c r="E3" t="str">
        <f t="shared" si="2"/>
        <v>Client3</v>
      </c>
      <c r="F3" t="str">
        <f t="shared" si="3"/>
        <v>BOB3</v>
      </c>
      <c r="G3" t="s">
        <v>20</v>
      </c>
      <c r="H3" t="s">
        <v>21</v>
      </c>
      <c r="I3" s="11">
        <v>195500000</v>
      </c>
      <c r="J3" s="11">
        <v>0</v>
      </c>
    </row>
    <row r="4" spans="1:10" hidden="1" x14ac:dyDescent="0.3">
      <c r="A4" s="10">
        <v>46027</v>
      </c>
      <c r="B4" t="s">
        <v>19</v>
      </c>
      <c r="C4" t="str">
        <f t="shared" si="0"/>
        <v>3428561784</v>
      </c>
      <c r="D4" t="str">
        <f t="shared" si="1"/>
        <v>37985126134</v>
      </c>
      <c r="E4" t="str">
        <f t="shared" si="2"/>
        <v>Client4</v>
      </c>
      <c r="F4" t="str">
        <f t="shared" si="3"/>
        <v>BOB4</v>
      </c>
      <c r="G4" t="s">
        <v>22</v>
      </c>
      <c r="H4" t="s">
        <v>23</v>
      </c>
      <c r="I4" s="11">
        <v>176618900</v>
      </c>
      <c r="J4" s="11">
        <v>126081000</v>
      </c>
    </row>
    <row r="5" spans="1:10" x14ac:dyDescent="0.3">
      <c r="A5" s="10">
        <v>46027</v>
      </c>
      <c r="B5" t="s">
        <v>19</v>
      </c>
      <c r="C5" t="str">
        <f t="shared" si="0"/>
        <v>3428561785</v>
      </c>
      <c r="D5" t="str">
        <f t="shared" si="1"/>
        <v>37985126135</v>
      </c>
      <c r="E5" t="str">
        <f t="shared" si="2"/>
        <v>Client5</v>
      </c>
      <c r="F5" t="str">
        <f t="shared" si="3"/>
        <v>BOB5</v>
      </c>
      <c r="G5" t="s">
        <v>24</v>
      </c>
      <c r="H5" t="s">
        <v>21</v>
      </c>
      <c r="I5" s="11">
        <v>169000000</v>
      </c>
      <c r="J5" s="11">
        <v>0</v>
      </c>
    </row>
    <row r="6" spans="1:10" hidden="1" x14ac:dyDescent="0.3">
      <c r="A6" s="10">
        <v>46027</v>
      </c>
      <c r="B6" t="s">
        <v>19</v>
      </c>
      <c r="C6" t="str">
        <f t="shared" si="0"/>
        <v>3428561786</v>
      </c>
      <c r="D6" t="str">
        <f t="shared" si="1"/>
        <v>37985126136</v>
      </c>
      <c r="E6" t="str">
        <f t="shared" si="2"/>
        <v>Client6</v>
      </c>
      <c r="F6" t="str">
        <f t="shared" si="3"/>
        <v>BOB6</v>
      </c>
      <c r="G6" t="s">
        <v>25</v>
      </c>
      <c r="H6" t="s">
        <v>21</v>
      </c>
      <c r="I6" s="11">
        <v>168392500</v>
      </c>
      <c r="J6" s="11">
        <v>6920000</v>
      </c>
    </row>
    <row r="7" spans="1:10" hidden="1" x14ac:dyDescent="0.3">
      <c r="A7" s="10">
        <v>46027</v>
      </c>
      <c r="B7" t="s">
        <v>19</v>
      </c>
      <c r="C7" t="str">
        <f t="shared" si="0"/>
        <v>3428561787</v>
      </c>
      <c r="D7" t="str">
        <f t="shared" si="1"/>
        <v>37985126137</v>
      </c>
      <c r="E7" t="str">
        <f t="shared" si="2"/>
        <v>Client7</v>
      </c>
      <c r="F7" t="str">
        <f t="shared" si="3"/>
        <v>BOB7</v>
      </c>
      <c r="G7" t="s">
        <v>20</v>
      </c>
      <c r="H7" t="s">
        <v>21</v>
      </c>
      <c r="I7" s="11">
        <v>118000000</v>
      </c>
      <c r="J7" s="11">
        <v>0</v>
      </c>
    </row>
    <row r="8" spans="1:10" hidden="1" x14ac:dyDescent="0.3">
      <c r="A8" s="10">
        <v>46027</v>
      </c>
      <c r="B8" t="s">
        <v>19</v>
      </c>
      <c r="C8" t="str">
        <f t="shared" si="0"/>
        <v>3428561788</v>
      </c>
      <c r="D8" t="str">
        <f t="shared" si="1"/>
        <v>37985126138</v>
      </c>
      <c r="E8" t="str">
        <f t="shared" si="2"/>
        <v>Client8</v>
      </c>
      <c r="F8" t="str">
        <f t="shared" si="3"/>
        <v>BOB8</v>
      </c>
      <c r="G8" t="s">
        <v>25</v>
      </c>
      <c r="H8" t="s">
        <v>21</v>
      </c>
      <c r="I8" s="11">
        <v>84520700</v>
      </c>
      <c r="J8" s="11">
        <v>0</v>
      </c>
    </row>
    <row r="9" spans="1:10" hidden="1" x14ac:dyDescent="0.3">
      <c r="A9" s="10">
        <v>46027</v>
      </c>
      <c r="B9" t="s">
        <v>19</v>
      </c>
      <c r="C9" t="str">
        <f t="shared" si="0"/>
        <v>3428561789</v>
      </c>
      <c r="D9" t="str">
        <f t="shared" si="1"/>
        <v>37985126139</v>
      </c>
      <c r="E9" t="str">
        <f t="shared" si="2"/>
        <v>Client9</v>
      </c>
      <c r="F9" t="str">
        <f t="shared" si="3"/>
        <v>BOB9</v>
      </c>
      <c r="G9" t="s">
        <v>20</v>
      </c>
      <c r="H9" t="s">
        <v>21</v>
      </c>
      <c r="I9" s="11">
        <v>84400000</v>
      </c>
      <c r="J9" s="11">
        <v>0</v>
      </c>
    </row>
    <row r="10" spans="1:10" x14ac:dyDescent="0.3">
      <c r="A10" s="10">
        <v>46027</v>
      </c>
      <c r="B10" t="s">
        <v>19</v>
      </c>
      <c r="C10" t="str">
        <f t="shared" si="0"/>
        <v>34285617810</v>
      </c>
      <c r="D10" t="str">
        <f t="shared" si="1"/>
        <v>379851261310</v>
      </c>
      <c r="E10" t="str">
        <f t="shared" si="2"/>
        <v>Client10</v>
      </c>
      <c r="F10" t="str">
        <f t="shared" si="3"/>
        <v>BOB10</v>
      </c>
      <c r="G10" t="s">
        <v>24</v>
      </c>
      <c r="H10" t="s">
        <v>21</v>
      </c>
      <c r="I10" s="11">
        <v>78370000</v>
      </c>
      <c r="J10" s="11">
        <v>0</v>
      </c>
    </row>
    <row r="11" spans="1:10" hidden="1" x14ac:dyDescent="0.3">
      <c r="A11" s="10">
        <v>46027</v>
      </c>
      <c r="B11" t="s">
        <v>19</v>
      </c>
      <c r="C11" t="str">
        <f t="shared" si="0"/>
        <v>34285617811</v>
      </c>
      <c r="D11" t="str">
        <f t="shared" si="1"/>
        <v>379851261311</v>
      </c>
      <c r="E11" t="str">
        <f t="shared" si="2"/>
        <v>Client11</v>
      </c>
      <c r="F11" t="str">
        <f t="shared" si="3"/>
        <v>BOB11</v>
      </c>
      <c r="G11" t="s">
        <v>20</v>
      </c>
      <c r="H11" t="s">
        <v>21</v>
      </c>
      <c r="I11" s="11">
        <v>74312400</v>
      </c>
      <c r="J11" s="11">
        <v>9974000</v>
      </c>
    </row>
    <row r="12" spans="1:10" hidden="1" x14ac:dyDescent="0.3">
      <c r="A12" s="10">
        <v>46027</v>
      </c>
      <c r="B12" t="s">
        <v>19</v>
      </c>
      <c r="C12" t="str">
        <f t="shared" si="0"/>
        <v>34285617812</v>
      </c>
      <c r="D12" t="str">
        <f t="shared" si="1"/>
        <v>379851261312</v>
      </c>
      <c r="E12" t="str">
        <f t="shared" si="2"/>
        <v>Client12</v>
      </c>
      <c r="F12" t="str">
        <f t="shared" si="3"/>
        <v>BOB12</v>
      </c>
      <c r="G12" t="s">
        <v>22</v>
      </c>
      <c r="H12" t="s">
        <v>23</v>
      </c>
      <c r="I12" s="11">
        <v>66355800</v>
      </c>
      <c r="J12" s="11">
        <v>38800000</v>
      </c>
    </row>
    <row r="13" spans="1:10" hidden="1" x14ac:dyDescent="0.3">
      <c r="A13" s="10">
        <v>46027</v>
      </c>
      <c r="B13" t="s">
        <v>19</v>
      </c>
      <c r="C13" t="str">
        <f t="shared" si="0"/>
        <v>34285617813</v>
      </c>
      <c r="D13" t="str">
        <f t="shared" si="1"/>
        <v>379851261313</v>
      </c>
      <c r="E13" t="str">
        <f t="shared" si="2"/>
        <v>Client13</v>
      </c>
      <c r="F13" t="str">
        <f t="shared" si="3"/>
        <v>BOB13</v>
      </c>
      <c r="G13" t="s">
        <v>20</v>
      </c>
      <c r="H13" t="s">
        <v>21</v>
      </c>
      <c r="I13" s="11">
        <v>63600000</v>
      </c>
      <c r="J13" s="11">
        <v>0</v>
      </c>
    </row>
    <row r="14" spans="1:10" hidden="1" x14ac:dyDescent="0.3">
      <c r="A14" s="10">
        <v>46027</v>
      </c>
      <c r="B14" t="s">
        <v>19</v>
      </c>
      <c r="C14" t="str">
        <f t="shared" si="0"/>
        <v>34285617814</v>
      </c>
      <c r="D14" t="str">
        <f t="shared" si="1"/>
        <v>379851261314</v>
      </c>
      <c r="E14" t="str">
        <f t="shared" si="2"/>
        <v>Client14</v>
      </c>
      <c r="F14" t="str">
        <f t="shared" si="3"/>
        <v>BOB14</v>
      </c>
      <c r="G14" t="s">
        <v>25</v>
      </c>
      <c r="H14" t="s">
        <v>21</v>
      </c>
      <c r="I14" s="11">
        <v>63512450</v>
      </c>
      <c r="J14" s="11">
        <v>200000</v>
      </c>
    </row>
    <row r="15" spans="1:10" hidden="1" x14ac:dyDescent="0.3">
      <c r="A15" s="10">
        <v>46027</v>
      </c>
      <c r="B15" t="s">
        <v>19</v>
      </c>
      <c r="C15" t="str">
        <f t="shared" si="0"/>
        <v>34285617815</v>
      </c>
      <c r="D15" t="str">
        <f t="shared" si="1"/>
        <v>379851261315</v>
      </c>
      <c r="E15" t="str">
        <f t="shared" si="2"/>
        <v>Client15</v>
      </c>
      <c r="F15" t="str">
        <f t="shared" si="3"/>
        <v>BOB15</v>
      </c>
      <c r="G15" t="s">
        <v>20</v>
      </c>
      <c r="H15" t="s">
        <v>21</v>
      </c>
      <c r="I15" s="11">
        <v>52129400</v>
      </c>
      <c r="J15" s="11">
        <v>0</v>
      </c>
    </row>
    <row r="16" spans="1:10" hidden="1" x14ac:dyDescent="0.3">
      <c r="A16" s="10">
        <v>46027</v>
      </c>
      <c r="B16" t="s">
        <v>19</v>
      </c>
      <c r="C16" t="str">
        <f t="shared" si="0"/>
        <v>34285617816</v>
      </c>
      <c r="D16" t="str">
        <f t="shared" si="1"/>
        <v>379851261316</v>
      </c>
      <c r="E16" t="str">
        <f t="shared" si="2"/>
        <v>Client16</v>
      </c>
      <c r="F16" t="str">
        <f t="shared" si="3"/>
        <v>BOB16</v>
      </c>
      <c r="G16" t="s">
        <v>26</v>
      </c>
      <c r="H16" t="s">
        <v>21</v>
      </c>
      <c r="I16" s="11">
        <v>46400000</v>
      </c>
      <c r="J16" s="11">
        <v>10400000</v>
      </c>
    </row>
    <row r="17" spans="1:10" hidden="1" x14ac:dyDescent="0.3">
      <c r="A17" s="10">
        <v>46027</v>
      </c>
      <c r="B17" t="s">
        <v>19</v>
      </c>
      <c r="C17" t="str">
        <f t="shared" si="0"/>
        <v>34285617817</v>
      </c>
      <c r="D17" t="str">
        <f t="shared" si="1"/>
        <v>379851261317</v>
      </c>
      <c r="E17" t="str">
        <f t="shared" si="2"/>
        <v>Client17</v>
      </c>
      <c r="F17" t="str">
        <f t="shared" si="3"/>
        <v>BOB17</v>
      </c>
      <c r="G17" t="s">
        <v>20</v>
      </c>
      <c r="H17" t="s">
        <v>21</v>
      </c>
      <c r="I17" s="11">
        <v>40500000</v>
      </c>
      <c r="J17" s="11">
        <v>0</v>
      </c>
    </row>
    <row r="18" spans="1:10" hidden="1" x14ac:dyDescent="0.3">
      <c r="A18" s="10">
        <v>46027</v>
      </c>
      <c r="B18" t="s">
        <v>19</v>
      </c>
      <c r="C18" t="str">
        <f t="shared" si="0"/>
        <v>34285617818</v>
      </c>
      <c r="D18" t="str">
        <f t="shared" si="1"/>
        <v>379851261318</v>
      </c>
      <c r="E18" t="str">
        <f t="shared" si="2"/>
        <v>Client18</v>
      </c>
      <c r="F18" t="str">
        <f t="shared" si="3"/>
        <v>BOB18</v>
      </c>
      <c r="G18" t="s">
        <v>25</v>
      </c>
      <c r="H18" t="s">
        <v>21</v>
      </c>
      <c r="I18" s="11">
        <v>37285000</v>
      </c>
      <c r="J18" s="11">
        <v>0</v>
      </c>
    </row>
    <row r="19" spans="1:10" hidden="1" x14ac:dyDescent="0.3">
      <c r="A19" s="10">
        <v>46027</v>
      </c>
      <c r="B19" t="s">
        <v>19</v>
      </c>
      <c r="C19" t="str">
        <f t="shared" si="0"/>
        <v>34285617819</v>
      </c>
      <c r="D19" t="str">
        <f t="shared" si="1"/>
        <v>379851261319</v>
      </c>
      <c r="E19" t="str">
        <f t="shared" si="2"/>
        <v>Client19</v>
      </c>
      <c r="F19" t="str">
        <f t="shared" si="3"/>
        <v>BOB19</v>
      </c>
      <c r="G19" t="s">
        <v>26</v>
      </c>
      <c r="H19" t="s">
        <v>21</v>
      </c>
      <c r="I19" s="11">
        <v>37255000</v>
      </c>
      <c r="J19" s="11">
        <v>430797</v>
      </c>
    </row>
    <row r="20" spans="1:10" hidden="1" x14ac:dyDescent="0.3">
      <c r="A20" s="10">
        <v>46027</v>
      </c>
      <c r="B20" t="s">
        <v>19</v>
      </c>
      <c r="C20" t="str">
        <f t="shared" si="0"/>
        <v>34285617820</v>
      </c>
      <c r="D20" t="str">
        <f t="shared" si="1"/>
        <v>379851261320</v>
      </c>
      <c r="E20" t="str">
        <f t="shared" si="2"/>
        <v>Client20</v>
      </c>
      <c r="F20" t="str">
        <f t="shared" si="3"/>
        <v>BOB20</v>
      </c>
      <c r="G20" t="s">
        <v>20</v>
      </c>
      <c r="H20" t="s">
        <v>21</v>
      </c>
      <c r="I20" s="11">
        <v>34958000</v>
      </c>
      <c r="J20" s="11">
        <v>0</v>
      </c>
    </row>
    <row r="21" spans="1:10" hidden="1" x14ac:dyDescent="0.3">
      <c r="A21" s="10">
        <v>46027</v>
      </c>
      <c r="B21" t="s">
        <v>19</v>
      </c>
      <c r="C21" t="str">
        <f t="shared" si="0"/>
        <v>34285617821</v>
      </c>
      <c r="D21" t="str">
        <f t="shared" si="1"/>
        <v>379851261321</v>
      </c>
      <c r="E21" t="str">
        <f t="shared" si="2"/>
        <v>Client21</v>
      </c>
      <c r="F21" t="str">
        <f t="shared" si="3"/>
        <v>BOB21</v>
      </c>
      <c r="G21" t="s">
        <v>25</v>
      </c>
      <c r="H21" t="s">
        <v>21</v>
      </c>
      <c r="I21" s="11">
        <v>33490000</v>
      </c>
      <c r="J21" s="11">
        <v>0</v>
      </c>
    </row>
    <row r="22" spans="1:10" hidden="1" x14ac:dyDescent="0.3">
      <c r="A22" s="10">
        <v>46027</v>
      </c>
      <c r="B22" t="s">
        <v>19</v>
      </c>
      <c r="C22" t="str">
        <f t="shared" si="0"/>
        <v>34285617822</v>
      </c>
      <c r="D22" t="str">
        <f t="shared" si="1"/>
        <v>379851261322</v>
      </c>
      <c r="E22" t="str">
        <f t="shared" si="2"/>
        <v>Client22</v>
      </c>
      <c r="F22" t="str">
        <f t="shared" si="3"/>
        <v>BOB22</v>
      </c>
      <c r="G22" t="s">
        <v>20</v>
      </c>
      <c r="H22" t="s">
        <v>21</v>
      </c>
      <c r="I22" s="11">
        <v>32630000</v>
      </c>
      <c r="J22" s="11">
        <v>0</v>
      </c>
    </row>
    <row r="23" spans="1:10" hidden="1" x14ac:dyDescent="0.3">
      <c r="A23" s="10">
        <v>46027</v>
      </c>
      <c r="B23" t="s">
        <v>19</v>
      </c>
      <c r="C23" t="str">
        <f t="shared" si="0"/>
        <v>34285617823</v>
      </c>
      <c r="D23" t="str">
        <f t="shared" si="1"/>
        <v>379851261323</v>
      </c>
      <c r="E23" t="str">
        <f t="shared" si="2"/>
        <v>Client23</v>
      </c>
      <c r="F23" t="str">
        <f t="shared" si="3"/>
        <v>BOB23</v>
      </c>
      <c r="G23" t="s">
        <v>24</v>
      </c>
      <c r="H23" t="s">
        <v>21</v>
      </c>
      <c r="I23" s="11">
        <v>31500000</v>
      </c>
      <c r="J23" s="11">
        <v>0</v>
      </c>
    </row>
    <row r="24" spans="1:10" hidden="1" x14ac:dyDescent="0.3">
      <c r="A24" s="10">
        <v>46027</v>
      </c>
      <c r="B24" t="s">
        <v>19</v>
      </c>
      <c r="C24" t="str">
        <f t="shared" si="0"/>
        <v>34285617824</v>
      </c>
      <c r="D24" t="str">
        <f t="shared" si="1"/>
        <v>379851261324</v>
      </c>
      <c r="E24" t="str">
        <f t="shared" si="2"/>
        <v>Client24</v>
      </c>
      <c r="F24" t="str">
        <f t="shared" si="3"/>
        <v>BOB24</v>
      </c>
      <c r="G24" t="s">
        <v>25</v>
      </c>
      <c r="H24" t="s">
        <v>21</v>
      </c>
      <c r="I24" s="11">
        <v>29960000</v>
      </c>
      <c r="J24" s="11">
        <v>0</v>
      </c>
    </row>
    <row r="25" spans="1:10" hidden="1" x14ac:dyDescent="0.3">
      <c r="A25" s="10">
        <v>46027</v>
      </c>
      <c r="B25" t="s">
        <v>19</v>
      </c>
      <c r="C25" t="str">
        <f t="shared" si="0"/>
        <v>34285617825</v>
      </c>
      <c r="D25" t="str">
        <f t="shared" si="1"/>
        <v>379851261325</v>
      </c>
      <c r="E25" t="str">
        <f t="shared" si="2"/>
        <v>Client25</v>
      </c>
      <c r="F25" t="str">
        <f t="shared" si="3"/>
        <v>BOB25</v>
      </c>
      <c r="G25" t="s">
        <v>20</v>
      </c>
      <c r="H25" t="s">
        <v>21</v>
      </c>
      <c r="I25" s="11">
        <v>29697000</v>
      </c>
      <c r="J25" s="11">
        <v>0</v>
      </c>
    </row>
    <row r="26" spans="1:10" hidden="1" x14ac:dyDescent="0.3">
      <c r="A26" s="10">
        <v>46027</v>
      </c>
      <c r="B26" t="s">
        <v>19</v>
      </c>
      <c r="C26" t="str">
        <f t="shared" si="0"/>
        <v>34285617826</v>
      </c>
      <c r="D26" t="str">
        <f t="shared" si="1"/>
        <v>379851261326</v>
      </c>
      <c r="E26" t="str">
        <f t="shared" si="2"/>
        <v>Client26</v>
      </c>
      <c r="F26" t="str">
        <f t="shared" si="3"/>
        <v>BOB26</v>
      </c>
      <c r="G26" t="s">
        <v>25</v>
      </c>
      <c r="H26" t="s">
        <v>21</v>
      </c>
      <c r="I26" s="11">
        <v>27656100</v>
      </c>
      <c r="J26" s="11">
        <v>4671000</v>
      </c>
    </row>
    <row r="27" spans="1:10" hidden="1" x14ac:dyDescent="0.3">
      <c r="A27" s="10">
        <v>46027</v>
      </c>
      <c r="B27" t="s">
        <v>19</v>
      </c>
      <c r="C27" t="str">
        <f t="shared" si="0"/>
        <v>34285617827</v>
      </c>
      <c r="D27" t="str">
        <f t="shared" si="1"/>
        <v>379851261327</v>
      </c>
      <c r="E27" t="str">
        <f t="shared" si="2"/>
        <v>Client27</v>
      </c>
      <c r="F27" t="str">
        <f t="shared" si="3"/>
        <v>BOB27</v>
      </c>
      <c r="G27" t="s">
        <v>25</v>
      </c>
      <c r="H27" t="s">
        <v>21</v>
      </c>
      <c r="I27" s="11">
        <v>26925000</v>
      </c>
      <c r="J27" s="11">
        <v>0</v>
      </c>
    </row>
    <row r="28" spans="1:10" hidden="1" x14ac:dyDescent="0.3">
      <c r="A28" s="10">
        <v>46027</v>
      </c>
      <c r="B28" t="s">
        <v>19</v>
      </c>
      <c r="C28" t="str">
        <f t="shared" si="0"/>
        <v>34285617828</v>
      </c>
      <c r="D28" t="str">
        <f t="shared" si="1"/>
        <v>379851261328</v>
      </c>
      <c r="E28" t="str">
        <f t="shared" si="2"/>
        <v>Client28</v>
      </c>
      <c r="F28" t="str">
        <f t="shared" si="3"/>
        <v>BOB28</v>
      </c>
      <c r="I28" s="11">
        <v>26500000</v>
      </c>
      <c r="J28" s="11">
        <v>300000</v>
      </c>
    </row>
    <row r="29" spans="1:10" x14ac:dyDescent="0.3">
      <c r="A29" s="10">
        <v>46027</v>
      </c>
      <c r="B29" t="s">
        <v>19</v>
      </c>
      <c r="C29" t="str">
        <f t="shared" si="0"/>
        <v>34285617829</v>
      </c>
      <c r="D29" t="str">
        <f t="shared" si="1"/>
        <v>379851261329</v>
      </c>
      <c r="E29" t="str">
        <f t="shared" si="2"/>
        <v>Client29</v>
      </c>
      <c r="F29" t="str">
        <f t="shared" si="3"/>
        <v>BOB29</v>
      </c>
      <c r="G29" t="s">
        <v>24</v>
      </c>
      <c r="H29" t="s">
        <v>21</v>
      </c>
      <c r="I29" s="11">
        <v>25000000</v>
      </c>
      <c r="J29" s="11">
        <v>0</v>
      </c>
    </row>
    <row r="30" spans="1:10" hidden="1" x14ac:dyDescent="0.3">
      <c r="A30" s="10">
        <v>46027</v>
      </c>
      <c r="B30" t="s">
        <v>19</v>
      </c>
      <c r="C30" t="str">
        <f t="shared" si="0"/>
        <v>34285617830</v>
      </c>
      <c r="D30" t="str">
        <f t="shared" si="1"/>
        <v>379851261330</v>
      </c>
      <c r="E30" t="str">
        <f t="shared" si="2"/>
        <v>Client30</v>
      </c>
      <c r="F30" t="str">
        <f t="shared" si="3"/>
        <v>BOB30</v>
      </c>
      <c r="G30" t="s">
        <v>20</v>
      </c>
      <c r="H30" t="s">
        <v>21</v>
      </c>
      <c r="I30" s="11">
        <v>24474000</v>
      </c>
      <c r="J30" s="11">
        <v>0</v>
      </c>
    </row>
    <row r="31" spans="1:10" hidden="1" x14ac:dyDescent="0.3">
      <c r="A31" s="10">
        <v>46027</v>
      </c>
      <c r="B31" t="s">
        <v>19</v>
      </c>
      <c r="C31" t="str">
        <f t="shared" si="0"/>
        <v>34285617831</v>
      </c>
      <c r="D31" t="str">
        <f t="shared" si="1"/>
        <v>379851261331</v>
      </c>
      <c r="E31" t="str">
        <f t="shared" si="2"/>
        <v>Client31</v>
      </c>
      <c r="F31" t="str">
        <f t="shared" si="3"/>
        <v>BOB31</v>
      </c>
      <c r="G31" t="s">
        <v>20</v>
      </c>
      <c r="H31" t="s">
        <v>21</v>
      </c>
      <c r="I31" s="11">
        <v>24360000</v>
      </c>
      <c r="J31" s="11">
        <v>0</v>
      </c>
    </row>
    <row r="32" spans="1:10" hidden="1" x14ac:dyDescent="0.3">
      <c r="A32" s="10">
        <v>46027</v>
      </c>
      <c r="B32" t="s">
        <v>19</v>
      </c>
      <c r="C32" t="str">
        <f t="shared" si="0"/>
        <v>34285617832</v>
      </c>
      <c r="D32" t="str">
        <f t="shared" si="1"/>
        <v>379851261332</v>
      </c>
      <c r="E32" t="str">
        <f t="shared" si="2"/>
        <v>Client32</v>
      </c>
      <c r="F32" t="str">
        <f t="shared" si="3"/>
        <v>BOB32</v>
      </c>
      <c r="G32" t="s">
        <v>22</v>
      </c>
      <c r="H32" t="s">
        <v>23</v>
      </c>
      <c r="I32" s="11">
        <v>23700000</v>
      </c>
      <c r="J32" s="11">
        <v>24888300</v>
      </c>
    </row>
    <row r="33" spans="1:10" hidden="1" x14ac:dyDescent="0.3">
      <c r="A33" s="10">
        <v>46027</v>
      </c>
      <c r="B33" t="s">
        <v>19</v>
      </c>
      <c r="C33" t="str">
        <f t="shared" si="0"/>
        <v>34285617833</v>
      </c>
      <c r="D33" t="str">
        <f t="shared" si="1"/>
        <v>379851261333</v>
      </c>
      <c r="E33" t="str">
        <f t="shared" si="2"/>
        <v>Client33</v>
      </c>
      <c r="F33" t="str">
        <f t="shared" si="3"/>
        <v>BOB33</v>
      </c>
      <c r="G33" t="s">
        <v>22</v>
      </c>
      <c r="H33" t="s">
        <v>23</v>
      </c>
      <c r="I33" s="11">
        <v>21500000</v>
      </c>
      <c r="J33" s="11">
        <v>76517000</v>
      </c>
    </row>
    <row r="34" spans="1:10" hidden="1" x14ac:dyDescent="0.3">
      <c r="A34" s="10">
        <v>46027</v>
      </c>
      <c r="B34" t="s">
        <v>19</v>
      </c>
      <c r="C34" t="str">
        <f t="shared" si="0"/>
        <v>34285617834</v>
      </c>
      <c r="D34" t="str">
        <f t="shared" si="1"/>
        <v>379851261334</v>
      </c>
      <c r="E34" t="str">
        <f t="shared" si="2"/>
        <v>Client34</v>
      </c>
      <c r="F34" t="str">
        <f t="shared" si="3"/>
        <v>BOB34</v>
      </c>
      <c r="G34" t="s">
        <v>20</v>
      </c>
      <c r="H34" t="s">
        <v>21</v>
      </c>
      <c r="I34" s="11">
        <v>20367700</v>
      </c>
      <c r="J34" s="11">
        <v>0</v>
      </c>
    </row>
    <row r="35" spans="1:10" hidden="1" x14ac:dyDescent="0.3">
      <c r="A35" s="10">
        <v>46027</v>
      </c>
      <c r="B35" t="s">
        <v>19</v>
      </c>
      <c r="C35" t="str">
        <f t="shared" si="0"/>
        <v>34285617835</v>
      </c>
      <c r="D35" t="str">
        <f t="shared" si="1"/>
        <v>379851261335</v>
      </c>
      <c r="E35" t="str">
        <f t="shared" si="2"/>
        <v>Client35</v>
      </c>
      <c r="F35" t="str">
        <f t="shared" si="3"/>
        <v>BOB35</v>
      </c>
      <c r="G35" t="s">
        <v>20</v>
      </c>
      <c r="H35" t="s">
        <v>21</v>
      </c>
      <c r="I35" s="11">
        <v>20000000</v>
      </c>
      <c r="J35" s="11">
        <v>0</v>
      </c>
    </row>
    <row r="36" spans="1:10" hidden="1" x14ac:dyDescent="0.3">
      <c r="A36" s="10">
        <v>46027</v>
      </c>
      <c r="B36" t="s">
        <v>19</v>
      </c>
      <c r="C36" t="str">
        <f t="shared" si="0"/>
        <v>34285617836</v>
      </c>
      <c r="D36" t="str">
        <f t="shared" si="1"/>
        <v>379851261336</v>
      </c>
      <c r="E36" t="str">
        <f t="shared" si="2"/>
        <v>Client36</v>
      </c>
      <c r="F36" t="str">
        <f t="shared" si="3"/>
        <v>BOB36</v>
      </c>
      <c r="G36" t="s">
        <v>20</v>
      </c>
      <c r="H36" t="s">
        <v>21</v>
      </c>
      <c r="I36" s="11">
        <v>19200000</v>
      </c>
      <c r="J36" s="11">
        <v>0</v>
      </c>
    </row>
    <row r="37" spans="1:10" hidden="1" x14ac:dyDescent="0.3">
      <c r="A37" s="10">
        <v>46027</v>
      </c>
      <c r="B37" t="s">
        <v>19</v>
      </c>
      <c r="C37" t="str">
        <f t="shared" si="0"/>
        <v>34285617837</v>
      </c>
      <c r="D37" t="str">
        <f t="shared" si="1"/>
        <v>379851261337</v>
      </c>
      <c r="E37" t="str">
        <f t="shared" si="2"/>
        <v>Client37</v>
      </c>
      <c r="F37" t="str">
        <f t="shared" si="3"/>
        <v>BOB37</v>
      </c>
      <c r="G37" t="s">
        <v>20</v>
      </c>
      <c r="H37" t="s">
        <v>21</v>
      </c>
      <c r="I37" s="11">
        <v>18400000</v>
      </c>
      <c r="J37" s="11">
        <v>0</v>
      </c>
    </row>
    <row r="38" spans="1:10" hidden="1" x14ac:dyDescent="0.3">
      <c r="A38" s="10">
        <v>46027</v>
      </c>
      <c r="B38" t="s">
        <v>19</v>
      </c>
      <c r="C38" t="str">
        <f t="shared" si="0"/>
        <v>34285617838</v>
      </c>
      <c r="D38" t="str">
        <f t="shared" si="1"/>
        <v>379851261338</v>
      </c>
      <c r="E38" t="str">
        <f t="shared" si="2"/>
        <v>Client38</v>
      </c>
      <c r="F38" t="str">
        <f t="shared" si="3"/>
        <v>BOB38</v>
      </c>
      <c r="G38" t="s">
        <v>25</v>
      </c>
      <c r="H38" t="s">
        <v>21</v>
      </c>
      <c r="I38" s="11">
        <v>17656000</v>
      </c>
      <c r="J38" s="11">
        <v>14683000</v>
      </c>
    </row>
    <row r="39" spans="1:10" hidden="1" x14ac:dyDescent="0.3">
      <c r="A39" s="10">
        <v>46027</v>
      </c>
      <c r="B39" t="s">
        <v>19</v>
      </c>
      <c r="C39" t="str">
        <f t="shared" si="0"/>
        <v>34285617839</v>
      </c>
      <c r="D39" t="str">
        <f t="shared" si="1"/>
        <v>379851261339</v>
      </c>
      <c r="E39" t="str">
        <f t="shared" si="2"/>
        <v>Client39</v>
      </c>
      <c r="F39" t="str">
        <f t="shared" si="3"/>
        <v>BOB39</v>
      </c>
      <c r="G39" t="s">
        <v>25</v>
      </c>
      <c r="H39" t="s">
        <v>21</v>
      </c>
      <c r="I39" s="11">
        <v>15040000</v>
      </c>
      <c r="J39" s="11">
        <v>2381000</v>
      </c>
    </row>
    <row r="40" spans="1:10" x14ac:dyDescent="0.3">
      <c r="A40" s="10">
        <v>46027</v>
      </c>
      <c r="B40" t="s">
        <v>19</v>
      </c>
      <c r="C40" t="str">
        <f t="shared" si="0"/>
        <v>34285617840</v>
      </c>
      <c r="D40" t="str">
        <f t="shared" si="1"/>
        <v>379851261340</v>
      </c>
      <c r="E40" t="str">
        <f t="shared" si="2"/>
        <v>Client40</v>
      </c>
      <c r="F40" t="str">
        <f t="shared" si="3"/>
        <v>BOB40</v>
      </c>
      <c r="G40" t="s">
        <v>24</v>
      </c>
      <c r="H40" t="s">
        <v>21</v>
      </c>
      <c r="I40" s="11">
        <v>13500000</v>
      </c>
      <c r="J40" s="11">
        <v>93094900</v>
      </c>
    </row>
    <row r="41" spans="1:10" hidden="1" x14ac:dyDescent="0.3">
      <c r="A41" s="10">
        <v>46027</v>
      </c>
      <c r="B41" t="s">
        <v>19</v>
      </c>
      <c r="C41" t="str">
        <f t="shared" si="0"/>
        <v>34285617841</v>
      </c>
      <c r="D41" t="str">
        <f t="shared" si="1"/>
        <v>379851261341</v>
      </c>
      <c r="E41" t="str">
        <f t="shared" si="2"/>
        <v>Client41</v>
      </c>
      <c r="F41" t="str">
        <f t="shared" si="3"/>
        <v>BOB41</v>
      </c>
      <c r="G41" t="s">
        <v>25</v>
      </c>
      <c r="H41" t="s">
        <v>21</v>
      </c>
      <c r="I41" s="11">
        <v>13285000</v>
      </c>
      <c r="J41" s="11">
        <v>15365300</v>
      </c>
    </row>
    <row r="42" spans="1:10" hidden="1" x14ac:dyDescent="0.3">
      <c r="A42" s="10">
        <v>46027</v>
      </c>
      <c r="B42" t="s">
        <v>19</v>
      </c>
      <c r="C42" t="str">
        <f t="shared" si="0"/>
        <v>34285617842</v>
      </c>
      <c r="D42" t="str">
        <f t="shared" si="1"/>
        <v>379851261342</v>
      </c>
      <c r="E42" t="str">
        <f t="shared" si="2"/>
        <v>Client42</v>
      </c>
      <c r="F42" t="str">
        <f t="shared" si="3"/>
        <v>BOB42</v>
      </c>
      <c r="G42" t="s">
        <v>20</v>
      </c>
      <c r="H42" t="s">
        <v>21</v>
      </c>
      <c r="I42" s="11">
        <v>13200000</v>
      </c>
      <c r="J42" s="11">
        <v>0</v>
      </c>
    </row>
    <row r="43" spans="1:10" x14ac:dyDescent="0.3">
      <c r="A43" s="10">
        <v>46027</v>
      </c>
      <c r="B43" t="s">
        <v>19</v>
      </c>
      <c r="C43" t="str">
        <f t="shared" si="0"/>
        <v>34285617843</v>
      </c>
      <c r="D43" t="str">
        <f t="shared" si="1"/>
        <v>379851261343</v>
      </c>
      <c r="E43" t="str">
        <f t="shared" si="2"/>
        <v>Client43</v>
      </c>
      <c r="F43" t="str">
        <f t="shared" si="3"/>
        <v>BOB43</v>
      </c>
      <c r="G43" t="s">
        <v>24</v>
      </c>
      <c r="H43" t="s">
        <v>21</v>
      </c>
      <c r="I43" s="11">
        <v>12800000</v>
      </c>
      <c r="J43" s="11">
        <v>5000000</v>
      </c>
    </row>
    <row r="44" spans="1:10" hidden="1" x14ac:dyDescent="0.3">
      <c r="A44" s="10">
        <v>46027</v>
      </c>
      <c r="B44" t="s">
        <v>19</v>
      </c>
      <c r="C44" t="str">
        <f t="shared" si="0"/>
        <v>34285617844</v>
      </c>
      <c r="D44" t="str">
        <f t="shared" si="1"/>
        <v>379851261344</v>
      </c>
      <c r="E44" t="str">
        <f t="shared" si="2"/>
        <v>Client44</v>
      </c>
      <c r="F44" t="str">
        <f t="shared" si="3"/>
        <v>BOB44</v>
      </c>
      <c r="G44" t="s">
        <v>25</v>
      </c>
      <c r="H44" t="s">
        <v>21</v>
      </c>
      <c r="I44" s="11">
        <v>12708800</v>
      </c>
      <c r="J44" s="11">
        <v>8545000</v>
      </c>
    </row>
    <row r="45" spans="1:10" hidden="1" x14ac:dyDescent="0.3">
      <c r="A45" s="10">
        <v>46027</v>
      </c>
      <c r="B45" t="s">
        <v>19</v>
      </c>
      <c r="C45" t="str">
        <f t="shared" si="0"/>
        <v>34285617845</v>
      </c>
      <c r="D45" t="str">
        <f t="shared" si="1"/>
        <v>379851261345</v>
      </c>
      <c r="E45" t="str">
        <f t="shared" si="2"/>
        <v>Client45</v>
      </c>
      <c r="F45" t="str">
        <f t="shared" si="3"/>
        <v>BOB45</v>
      </c>
      <c r="G45" t="s">
        <v>25</v>
      </c>
      <c r="H45" t="s">
        <v>21</v>
      </c>
      <c r="I45" s="11">
        <v>12427300</v>
      </c>
      <c r="J45" s="11">
        <v>1000000</v>
      </c>
    </row>
    <row r="46" spans="1:10" hidden="1" x14ac:dyDescent="0.3">
      <c r="A46" s="10">
        <v>46027</v>
      </c>
      <c r="B46" t="s">
        <v>19</v>
      </c>
      <c r="C46" t="str">
        <f t="shared" si="0"/>
        <v>34285617846</v>
      </c>
      <c r="D46" t="str">
        <f t="shared" si="1"/>
        <v>379851261346</v>
      </c>
      <c r="E46" t="str">
        <f t="shared" si="2"/>
        <v>Client46</v>
      </c>
      <c r="F46" t="str">
        <f t="shared" si="3"/>
        <v>BOB46</v>
      </c>
      <c r="G46" t="s">
        <v>20</v>
      </c>
      <c r="H46" t="s">
        <v>21</v>
      </c>
      <c r="I46" s="11">
        <v>12400000</v>
      </c>
      <c r="J46" s="11">
        <v>0</v>
      </c>
    </row>
    <row r="47" spans="1:10" hidden="1" x14ac:dyDescent="0.3">
      <c r="A47" s="10">
        <v>46027</v>
      </c>
      <c r="B47" t="s">
        <v>19</v>
      </c>
      <c r="C47" t="str">
        <f t="shared" si="0"/>
        <v>34285617847</v>
      </c>
      <c r="D47" t="str">
        <f t="shared" si="1"/>
        <v>379851261347</v>
      </c>
      <c r="E47" t="str">
        <f t="shared" si="2"/>
        <v>Client47</v>
      </c>
      <c r="F47" t="str">
        <f t="shared" si="3"/>
        <v>BOB47</v>
      </c>
      <c r="G47" t="s">
        <v>20</v>
      </c>
      <c r="H47" t="s">
        <v>21</v>
      </c>
      <c r="I47" s="11">
        <v>12000000</v>
      </c>
      <c r="J47" s="11">
        <v>7500000</v>
      </c>
    </row>
    <row r="48" spans="1:10" hidden="1" x14ac:dyDescent="0.3">
      <c r="A48" s="10">
        <v>46027</v>
      </c>
      <c r="B48" t="s">
        <v>19</v>
      </c>
      <c r="C48" t="str">
        <f t="shared" si="0"/>
        <v>34285617848</v>
      </c>
      <c r="D48" t="str">
        <f t="shared" si="1"/>
        <v>379851261348</v>
      </c>
      <c r="E48" t="str">
        <f t="shared" si="2"/>
        <v>Client48</v>
      </c>
      <c r="F48" t="str">
        <f t="shared" si="3"/>
        <v>BOB48</v>
      </c>
      <c r="G48" t="s">
        <v>25</v>
      </c>
      <c r="H48" t="s">
        <v>21</v>
      </c>
      <c r="I48" s="11">
        <v>11317800</v>
      </c>
      <c r="J48" s="11">
        <v>1000000</v>
      </c>
    </row>
    <row r="49" spans="1:10" hidden="1" x14ac:dyDescent="0.3">
      <c r="A49" s="10">
        <v>46027</v>
      </c>
      <c r="B49" t="s">
        <v>19</v>
      </c>
      <c r="C49" t="str">
        <f t="shared" si="0"/>
        <v>34285617849</v>
      </c>
      <c r="D49" t="str">
        <f t="shared" si="1"/>
        <v>379851261349</v>
      </c>
      <c r="E49" t="str">
        <f t="shared" si="2"/>
        <v>Client49</v>
      </c>
      <c r="F49" t="str">
        <f t="shared" si="3"/>
        <v>BOB49</v>
      </c>
      <c r="G49" t="s">
        <v>20</v>
      </c>
      <c r="H49" t="s">
        <v>21</v>
      </c>
      <c r="I49" s="11">
        <v>11000000</v>
      </c>
      <c r="J49" s="11">
        <v>0</v>
      </c>
    </row>
    <row r="50" spans="1:10" hidden="1" x14ac:dyDescent="0.3">
      <c r="A50" s="10">
        <v>46027</v>
      </c>
      <c r="B50" t="s">
        <v>19</v>
      </c>
      <c r="C50" t="str">
        <f t="shared" si="0"/>
        <v>34285617850</v>
      </c>
      <c r="D50" t="str">
        <f t="shared" si="1"/>
        <v>379851261350</v>
      </c>
      <c r="E50" t="str">
        <f t="shared" si="2"/>
        <v>Client50</v>
      </c>
      <c r="F50" t="str">
        <f t="shared" si="3"/>
        <v>BOB50</v>
      </c>
      <c r="G50" t="s">
        <v>25</v>
      </c>
      <c r="H50" t="s">
        <v>21</v>
      </c>
      <c r="I50" s="11">
        <v>11000000</v>
      </c>
      <c r="J50" s="11">
        <v>0</v>
      </c>
    </row>
    <row r="51" spans="1:10" hidden="1" x14ac:dyDescent="0.3">
      <c r="A51" s="10">
        <v>46027</v>
      </c>
      <c r="B51" t="s">
        <v>19</v>
      </c>
      <c r="C51" t="str">
        <f t="shared" si="0"/>
        <v>34285617851</v>
      </c>
      <c r="D51" t="str">
        <f t="shared" si="1"/>
        <v>379851261351</v>
      </c>
      <c r="E51" t="str">
        <f t="shared" si="2"/>
        <v>Client51</v>
      </c>
      <c r="F51" t="str">
        <f t="shared" si="3"/>
        <v>BOB51</v>
      </c>
      <c r="G51" t="s">
        <v>20</v>
      </c>
      <c r="H51" t="s">
        <v>21</v>
      </c>
      <c r="I51" s="11">
        <v>10900000</v>
      </c>
      <c r="J51" s="11">
        <v>0</v>
      </c>
    </row>
    <row r="52" spans="1:10" hidden="1" x14ac:dyDescent="0.3">
      <c r="A52" s="10">
        <v>46027</v>
      </c>
      <c r="B52" t="s">
        <v>19</v>
      </c>
      <c r="C52" t="str">
        <f t="shared" si="0"/>
        <v>34285617852</v>
      </c>
      <c r="D52" t="str">
        <f t="shared" si="1"/>
        <v>379851261352</v>
      </c>
      <c r="E52" t="str">
        <f t="shared" si="2"/>
        <v>Client52</v>
      </c>
      <c r="F52" t="str">
        <f t="shared" si="3"/>
        <v>BOB52</v>
      </c>
      <c r="G52" t="s">
        <v>20</v>
      </c>
      <c r="H52" t="s">
        <v>21</v>
      </c>
      <c r="I52" s="11">
        <v>10850000</v>
      </c>
      <c r="J52" s="11">
        <v>0</v>
      </c>
    </row>
    <row r="53" spans="1:10" hidden="1" x14ac:dyDescent="0.3">
      <c r="A53" s="10">
        <v>46027</v>
      </c>
      <c r="B53" t="s">
        <v>19</v>
      </c>
      <c r="C53" t="str">
        <f t="shared" si="0"/>
        <v>34285617853</v>
      </c>
      <c r="D53" t="str">
        <f t="shared" si="1"/>
        <v>379851261353</v>
      </c>
      <c r="E53" t="str">
        <f t="shared" si="2"/>
        <v>Client53</v>
      </c>
      <c r="F53" t="str">
        <f t="shared" si="3"/>
        <v>BOB53</v>
      </c>
      <c r="G53" t="s">
        <v>22</v>
      </c>
      <c r="H53" t="s">
        <v>23</v>
      </c>
      <c r="I53" s="11">
        <v>10141768</v>
      </c>
      <c r="J53" s="11">
        <v>10800000</v>
      </c>
    </row>
    <row r="54" spans="1:10" hidden="1" x14ac:dyDescent="0.3">
      <c r="A54" s="10">
        <v>46027</v>
      </c>
      <c r="B54" t="s">
        <v>19</v>
      </c>
      <c r="C54" t="str">
        <f t="shared" si="0"/>
        <v>34285617854</v>
      </c>
      <c r="D54" t="str">
        <f t="shared" si="1"/>
        <v>379851261354</v>
      </c>
      <c r="E54" t="str">
        <f t="shared" si="2"/>
        <v>Client54</v>
      </c>
      <c r="F54" t="str">
        <f t="shared" si="3"/>
        <v>BOB54</v>
      </c>
      <c r="G54" t="s">
        <v>25</v>
      </c>
      <c r="H54" t="s">
        <v>21</v>
      </c>
      <c r="I54" s="11">
        <v>9730000</v>
      </c>
      <c r="J54" s="11">
        <v>1024000</v>
      </c>
    </row>
    <row r="55" spans="1:10" hidden="1" x14ac:dyDescent="0.3">
      <c r="A55" s="10">
        <v>46027</v>
      </c>
      <c r="B55" t="s">
        <v>19</v>
      </c>
      <c r="C55" t="str">
        <f t="shared" si="0"/>
        <v>34285617855</v>
      </c>
      <c r="D55" t="str">
        <f t="shared" si="1"/>
        <v>379851261355</v>
      </c>
      <c r="E55" t="str">
        <f t="shared" si="2"/>
        <v>Client55</v>
      </c>
      <c r="F55" t="str">
        <f t="shared" si="3"/>
        <v>BOB55</v>
      </c>
      <c r="G55" t="s">
        <v>25</v>
      </c>
      <c r="H55" t="s">
        <v>21</v>
      </c>
      <c r="I55" s="11">
        <v>9610000</v>
      </c>
      <c r="J55" s="11">
        <v>4080000</v>
      </c>
    </row>
    <row r="56" spans="1:10" hidden="1" x14ac:dyDescent="0.3">
      <c r="A56" s="10">
        <v>46027</v>
      </c>
      <c r="B56" t="s">
        <v>19</v>
      </c>
      <c r="C56" t="str">
        <f t="shared" si="0"/>
        <v>34285617856</v>
      </c>
      <c r="D56" t="str">
        <f t="shared" si="1"/>
        <v>379851261356</v>
      </c>
      <c r="E56" t="str">
        <f t="shared" si="2"/>
        <v>Client56</v>
      </c>
      <c r="F56" t="str">
        <f t="shared" si="3"/>
        <v>BOB56</v>
      </c>
      <c r="G56" t="s">
        <v>25</v>
      </c>
      <c r="H56" t="s">
        <v>21</v>
      </c>
      <c r="I56" s="11">
        <v>9300000</v>
      </c>
      <c r="J56" s="11">
        <v>0</v>
      </c>
    </row>
    <row r="57" spans="1:10" x14ac:dyDescent="0.3">
      <c r="A57" s="10">
        <v>46027</v>
      </c>
      <c r="B57" t="s">
        <v>19</v>
      </c>
      <c r="C57" t="str">
        <f t="shared" si="0"/>
        <v>34285617857</v>
      </c>
      <c r="D57" t="str">
        <f t="shared" si="1"/>
        <v>379851261357</v>
      </c>
      <c r="E57" t="str">
        <f t="shared" si="2"/>
        <v>Client57</v>
      </c>
      <c r="F57" t="str">
        <f t="shared" si="3"/>
        <v>BOB57</v>
      </c>
      <c r="G57" t="s">
        <v>24</v>
      </c>
      <c r="H57" t="s">
        <v>21</v>
      </c>
      <c r="I57" s="11">
        <v>9000000</v>
      </c>
      <c r="J57" s="11">
        <v>3004500</v>
      </c>
    </row>
    <row r="58" spans="1:10" hidden="1" x14ac:dyDescent="0.3">
      <c r="A58" s="10">
        <v>46027</v>
      </c>
      <c r="B58" t="s">
        <v>19</v>
      </c>
      <c r="C58" t="str">
        <f t="shared" si="0"/>
        <v>34285617858</v>
      </c>
      <c r="D58" t="str">
        <f t="shared" si="1"/>
        <v>379851261358</v>
      </c>
      <c r="E58" t="str">
        <f t="shared" si="2"/>
        <v>Client58</v>
      </c>
      <c r="F58" t="str">
        <f t="shared" si="3"/>
        <v>BOB58</v>
      </c>
      <c r="G58" t="s">
        <v>20</v>
      </c>
      <c r="H58" t="s">
        <v>21</v>
      </c>
      <c r="I58" s="11">
        <v>8715000</v>
      </c>
      <c r="J58" s="11">
        <v>0</v>
      </c>
    </row>
    <row r="59" spans="1:10" hidden="1" x14ac:dyDescent="0.3">
      <c r="A59" s="10">
        <v>46027</v>
      </c>
      <c r="B59" t="s">
        <v>19</v>
      </c>
      <c r="C59" t="str">
        <f t="shared" si="0"/>
        <v>34285617859</v>
      </c>
      <c r="D59" t="str">
        <f t="shared" si="1"/>
        <v>379851261359</v>
      </c>
      <c r="E59" t="str">
        <f t="shared" si="2"/>
        <v>Client59</v>
      </c>
      <c r="F59" t="str">
        <f t="shared" si="3"/>
        <v>BOB59</v>
      </c>
      <c r="G59" t="s">
        <v>25</v>
      </c>
      <c r="H59" t="s">
        <v>21</v>
      </c>
      <c r="I59" s="11">
        <v>8700000</v>
      </c>
      <c r="J59" s="11">
        <v>171333600</v>
      </c>
    </row>
    <row r="60" spans="1:10" hidden="1" x14ac:dyDescent="0.3">
      <c r="A60" s="10">
        <v>46027</v>
      </c>
      <c r="B60" t="s">
        <v>19</v>
      </c>
      <c r="C60" t="str">
        <f t="shared" si="0"/>
        <v>34285617860</v>
      </c>
      <c r="D60" t="str">
        <f t="shared" si="1"/>
        <v>379851261360</v>
      </c>
      <c r="E60" t="str">
        <f t="shared" si="2"/>
        <v>Client60</v>
      </c>
      <c r="F60" t="str">
        <f t="shared" si="3"/>
        <v>BOB60</v>
      </c>
      <c r="I60" s="11">
        <v>8000000</v>
      </c>
      <c r="J60" s="11">
        <v>700000</v>
      </c>
    </row>
    <row r="61" spans="1:10" hidden="1" x14ac:dyDescent="0.3">
      <c r="A61" s="10">
        <v>46027</v>
      </c>
      <c r="B61" t="s">
        <v>19</v>
      </c>
      <c r="C61" t="str">
        <f t="shared" si="0"/>
        <v>34285617861</v>
      </c>
      <c r="D61" t="str">
        <f t="shared" si="1"/>
        <v>379851261361</v>
      </c>
      <c r="E61" t="str">
        <f t="shared" si="2"/>
        <v>Client61</v>
      </c>
      <c r="F61" t="str">
        <f t="shared" si="3"/>
        <v>BOB61</v>
      </c>
      <c r="G61" t="s">
        <v>25</v>
      </c>
      <c r="H61" t="s">
        <v>21</v>
      </c>
      <c r="I61" s="11">
        <v>7721000</v>
      </c>
      <c r="J61" s="11">
        <v>13466300</v>
      </c>
    </row>
    <row r="62" spans="1:10" hidden="1" x14ac:dyDescent="0.3">
      <c r="A62" s="10">
        <v>46027</v>
      </c>
      <c r="B62" t="s">
        <v>19</v>
      </c>
      <c r="C62" t="str">
        <f t="shared" si="0"/>
        <v>34285617862</v>
      </c>
      <c r="D62" t="str">
        <f t="shared" si="1"/>
        <v>379851261362</v>
      </c>
      <c r="E62" t="str">
        <f t="shared" si="2"/>
        <v>Client62</v>
      </c>
      <c r="F62" t="str">
        <f t="shared" si="3"/>
        <v>BOB62</v>
      </c>
      <c r="G62" t="s">
        <v>22</v>
      </c>
      <c r="H62" t="s">
        <v>23</v>
      </c>
      <c r="I62" s="11">
        <v>7692300</v>
      </c>
      <c r="J62" s="11">
        <v>0</v>
      </c>
    </row>
    <row r="63" spans="1:10" hidden="1" x14ac:dyDescent="0.3">
      <c r="A63" s="10">
        <v>46027</v>
      </c>
      <c r="B63" t="s">
        <v>19</v>
      </c>
      <c r="C63" t="str">
        <f t="shared" si="0"/>
        <v>34285617863</v>
      </c>
      <c r="D63" t="str">
        <f t="shared" si="1"/>
        <v>379851261363</v>
      </c>
      <c r="E63" t="str">
        <f t="shared" si="2"/>
        <v>Client63</v>
      </c>
      <c r="F63" t="str">
        <f t="shared" si="3"/>
        <v>BOB63</v>
      </c>
      <c r="I63" s="11">
        <v>7500000</v>
      </c>
      <c r="J63" s="11">
        <v>2010000</v>
      </c>
    </row>
    <row r="64" spans="1:10" hidden="1" x14ac:dyDescent="0.3">
      <c r="A64" s="10">
        <v>46027</v>
      </c>
      <c r="B64" t="s">
        <v>19</v>
      </c>
      <c r="C64" t="str">
        <f t="shared" si="0"/>
        <v>34285617864</v>
      </c>
      <c r="D64" t="str">
        <f t="shared" si="1"/>
        <v>379851261364</v>
      </c>
      <c r="E64" t="str">
        <f t="shared" si="2"/>
        <v>Client64</v>
      </c>
      <c r="F64" t="str">
        <f t="shared" si="3"/>
        <v>BOB64</v>
      </c>
      <c r="I64" s="11">
        <v>7300000</v>
      </c>
      <c r="J64" s="11">
        <v>0</v>
      </c>
    </row>
    <row r="65" spans="1:10" hidden="1" x14ac:dyDescent="0.3">
      <c r="A65" s="10">
        <v>46027</v>
      </c>
      <c r="B65" t="s">
        <v>19</v>
      </c>
      <c r="C65" t="str">
        <f t="shared" si="0"/>
        <v>34285617865</v>
      </c>
      <c r="D65" t="str">
        <f t="shared" si="1"/>
        <v>379851261365</v>
      </c>
      <c r="E65" t="str">
        <f t="shared" si="2"/>
        <v>Client65</v>
      </c>
      <c r="F65" t="str">
        <f t="shared" si="3"/>
        <v>BOB65</v>
      </c>
      <c r="G65" t="s">
        <v>22</v>
      </c>
      <c r="H65" t="s">
        <v>23</v>
      </c>
      <c r="I65" s="11">
        <v>7200000</v>
      </c>
      <c r="J65" s="11">
        <v>21500000</v>
      </c>
    </row>
    <row r="66" spans="1:10" hidden="1" x14ac:dyDescent="0.3">
      <c r="A66" s="10">
        <v>46027</v>
      </c>
      <c r="B66" t="s">
        <v>19</v>
      </c>
      <c r="C66" t="str">
        <f t="shared" ref="C66:C129" si="4" xml:space="preserve"> "342856178" &amp; ROW()</f>
        <v>34285617866</v>
      </c>
      <c r="D66" t="str">
        <f t="shared" ref="D66:D129" si="5" xml:space="preserve"> "3798512613" &amp; ROW()</f>
        <v>379851261366</v>
      </c>
      <c r="E66" t="str">
        <f t="shared" ref="E66:E129" si="6">"Client"&amp;ROW()</f>
        <v>Client66</v>
      </c>
      <c r="F66" t="str">
        <f t="shared" ref="F66:F129" si="7">"BOB"&amp;ROW()</f>
        <v>BOB66</v>
      </c>
      <c r="G66" t="s">
        <v>20</v>
      </c>
      <c r="H66" t="s">
        <v>21</v>
      </c>
      <c r="I66" s="11">
        <v>7000000</v>
      </c>
      <c r="J66" s="11">
        <v>0</v>
      </c>
    </row>
    <row r="67" spans="1:10" hidden="1" x14ac:dyDescent="0.3">
      <c r="A67" s="10">
        <v>46027</v>
      </c>
      <c r="B67" t="s">
        <v>19</v>
      </c>
      <c r="C67" t="str">
        <f t="shared" si="4"/>
        <v>34285617867</v>
      </c>
      <c r="D67" t="str">
        <f t="shared" si="5"/>
        <v>379851261367</v>
      </c>
      <c r="E67" t="str">
        <f t="shared" si="6"/>
        <v>Client67</v>
      </c>
      <c r="F67" t="str">
        <f t="shared" si="7"/>
        <v>BOB67</v>
      </c>
      <c r="G67" t="s">
        <v>20</v>
      </c>
      <c r="H67" t="s">
        <v>21</v>
      </c>
      <c r="I67" s="11">
        <v>7000000</v>
      </c>
      <c r="J67" s="11">
        <v>520000</v>
      </c>
    </row>
    <row r="68" spans="1:10" hidden="1" x14ac:dyDescent="0.3">
      <c r="A68" s="10">
        <v>46027</v>
      </c>
      <c r="B68" t="s">
        <v>19</v>
      </c>
      <c r="C68" t="str">
        <f t="shared" si="4"/>
        <v>34285617868</v>
      </c>
      <c r="D68" t="str">
        <f t="shared" si="5"/>
        <v>379851261368</v>
      </c>
      <c r="E68" t="str">
        <f t="shared" si="6"/>
        <v>Client68</v>
      </c>
      <c r="F68" t="str">
        <f t="shared" si="7"/>
        <v>BOB68</v>
      </c>
      <c r="G68" t="s">
        <v>22</v>
      </c>
      <c r="H68" t="s">
        <v>23</v>
      </c>
      <c r="I68" s="11">
        <v>7000000</v>
      </c>
      <c r="J68" s="11">
        <v>2302300</v>
      </c>
    </row>
    <row r="69" spans="1:10" hidden="1" x14ac:dyDescent="0.3">
      <c r="A69" s="10">
        <v>46027</v>
      </c>
      <c r="B69" t="s">
        <v>19</v>
      </c>
      <c r="C69" t="str">
        <f t="shared" si="4"/>
        <v>34285617869</v>
      </c>
      <c r="D69" t="str">
        <f t="shared" si="5"/>
        <v>379851261369</v>
      </c>
      <c r="E69" t="str">
        <f t="shared" si="6"/>
        <v>Client69</v>
      </c>
      <c r="F69" t="str">
        <f t="shared" si="7"/>
        <v>BOB69</v>
      </c>
      <c r="I69" s="11">
        <v>6700000</v>
      </c>
      <c r="J69" s="11">
        <v>6700000</v>
      </c>
    </row>
    <row r="70" spans="1:10" hidden="1" x14ac:dyDescent="0.3">
      <c r="A70" s="10">
        <v>46027</v>
      </c>
      <c r="B70" t="s">
        <v>19</v>
      </c>
      <c r="C70" t="str">
        <f t="shared" si="4"/>
        <v>34285617870</v>
      </c>
      <c r="D70" t="str">
        <f t="shared" si="5"/>
        <v>379851261370</v>
      </c>
      <c r="E70" t="str">
        <f t="shared" si="6"/>
        <v>Client70</v>
      </c>
      <c r="F70" t="str">
        <f t="shared" si="7"/>
        <v>BOB70</v>
      </c>
      <c r="G70" t="s">
        <v>25</v>
      </c>
      <c r="H70" t="s">
        <v>21</v>
      </c>
      <c r="I70" s="11">
        <v>6655000</v>
      </c>
      <c r="J70" s="11">
        <v>448000</v>
      </c>
    </row>
    <row r="71" spans="1:10" hidden="1" x14ac:dyDescent="0.3">
      <c r="A71" s="10">
        <v>46027</v>
      </c>
      <c r="B71" t="s">
        <v>19</v>
      </c>
      <c r="C71" t="str">
        <f t="shared" si="4"/>
        <v>34285617871</v>
      </c>
      <c r="D71" t="str">
        <f t="shared" si="5"/>
        <v>379851261371</v>
      </c>
      <c r="E71" t="str">
        <f t="shared" si="6"/>
        <v>Client71</v>
      </c>
      <c r="F71" t="str">
        <f t="shared" si="7"/>
        <v>BOB71</v>
      </c>
      <c r="G71" t="s">
        <v>25</v>
      </c>
      <c r="H71" t="s">
        <v>21</v>
      </c>
      <c r="I71" s="11">
        <v>6481000</v>
      </c>
      <c r="J71" s="11">
        <v>910000</v>
      </c>
    </row>
    <row r="72" spans="1:10" hidden="1" x14ac:dyDescent="0.3">
      <c r="A72" s="10">
        <v>46027</v>
      </c>
      <c r="B72" t="s">
        <v>19</v>
      </c>
      <c r="C72" t="str">
        <f t="shared" si="4"/>
        <v>34285617872</v>
      </c>
      <c r="D72" t="str">
        <f t="shared" si="5"/>
        <v>379851261372</v>
      </c>
      <c r="E72" t="str">
        <f t="shared" si="6"/>
        <v>Client72</v>
      </c>
      <c r="F72" t="str">
        <f t="shared" si="7"/>
        <v>BOB72</v>
      </c>
      <c r="G72" t="s">
        <v>25</v>
      </c>
      <c r="H72" t="s">
        <v>21</v>
      </c>
      <c r="I72" s="11">
        <v>6250000</v>
      </c>
      <c r="J72" s="11">
        <v>1092500</v>
      </c>
    </row>
    <row r="73" spans="1:10" hidden="1" x14ac:dyDescent="0.3">
      <c r="A73" s="10">
        <v>46027</v>
      </c>
      <c r="B73" t="s">
        <v>19</v>
      </c>
      <c r="C73" t="str">
        <f t="shared" si="4"/>
        <v>34285617873</v>
      </c>
      <c r="D73" t="str">
        <f t="shared" si="5"/>
        <v>379851261373</v>
      </c>
      <c r="E73" t="str">
        <f t="shared" si="6"/>
        <v>Client73</v>
      </c>
      <c r="F73" t="str">
        <f t="shared" si="7"/>
        <v>BOB73</v>
      </c>
      <c r="G73" t="s">
        <v>25</v>
      </c>
      <c r="H73" t="s">
        <v>21</v>
      </c>
      <c r="I73" s="11">
        <v>6120000</v>
      </c>
      <c r="J73" s="11">
        <v>1221000</v>
      </c>
    </row>
    <row r="74" spans="1:10" hidden="1" x14ac:dyDescent="0.3">
      <c r="A74" s="10">
        <v>46027</v>
      </c>
      <c r="B74" t="s">
        <v>19</v>
      </c>
      <c r="C74" t="str">
        <f t="shared" si="4"/>
        <v>34285617874</v>
      </c>
      <c r="D74" t="str">
        <f t="shared" si="5"/>
        <v>379851261374</v>
      </c>
      <c r="E74" t="str">
        <f t="shared" si="6"/>
        <v>Client74</v>
      </c>
      <c r="F74" t="str">
        <f t="shared" si="7"/>
        <v>BOB74</v>
      </c>
      <c r="G74" t="s">
        <v>25</v>
      </c>
      <c r="H74" t="s">
        <v>21</v>
      </c>
      <c r="I74" s="11">
        <v>6110000</v>
      </c>
      <c r="J74" s="11">
        <v>16696000</v>
      </c>
    </row>
    <row r="75" spans="1:10" hidden="1" x14ac:dyDescent="0.3">
      <c r="A75" s="10">
        <v>46027</v>
      </c>
      <c r="B75" t="s">
        <v>19</v>
      </c>
      <c r="C75" t="str">
        <f t="shared" si="4"/>
        <v>34285617875</v>
      </c>
      <c r="D75" t="str">
        <f t="shared" si="5"/>
        <v>379851261375</v>
      </c>
      <c r="E75" t="str">
        <f t="shared" si="6"/>
        <v>Client75</v>
      </c>
      <c r="F75" t="str">
        <f t="shared" si="7"/>
        <v>BOB75</v>
      </c>
      <c r="G75" t="s">
        <v>24</v>
      </c>
      <c r="H75" t="s">
        <v>21</v>
      </c>
      <c r="I75" s="11">
        <v>6000000</v>
      </c>
      <c r="J75" s="11">
        <v>0</v>
      </c>
    </row>
    <row r="76" spans="1:10" hidden="1" x14ac:dyDescent="0.3">
      <c r="A76" s="10">
        <v>46027</v>
      </c>
      <c r="B76" t="s">
        <v>19</v>
      </c>
      <c r="C76" t="str">
        <f t="shared" si="4"/>
        <v>34285617876</v>
      </c>
      <c r="D76" t="str">
        <f t="shared" si="5"/>
        <v>379851261376</v>
      </c>
      <c r="E76" t="str">
        <f t="shared" si="6"/>
        <v>Client76</v>
      </c>
      <c r="F76" t="str">
        <f t="shared" si="7"/>
        <v>BOB76</v>
      </c>
      <c r="G76" t="s">
        <v>20</v>
      </c>
      <c r="H76" t="s">
        <v>21</v>
      </c>
      <c r="I76" s="11">
        <v>6000000</v>
      </c>
      <c r="J76" s="11">
        <v>20518000</v>
      </c>
    </row>
    <row r="77" spans="1:10" hidden="1" x14ac:dyDescent="0.3">
      <c r="A77" s="10">
        <v>46027</v>
      </c>
      <c r="B77" t="s">
        <v>19</v>
      </c>
      <c r="C77" t="str">
        <f t="shared" si="4"/>
        <v>34285617877</v>
      </c>
      <c r="D77" t="str">
        <f t="shared" si="5"/>
        <v>379851261377</v>
      </c>
      <c r="E77" t="str">
        <f t="shared" si="6"/>
        <v>Client77</v>
      </c>
      <c r="F77" t="str">
        <f t="shared" si="7"/>
        <v>BOB77</v>
      </c>
      <c r="G77" t="s">
        <v>20</v>
      </c>
      <c r="H77" t="s">
        <v>21</v>
      </c>
      <c r="I77" s="11">
        <v>6000000</v>
      </c>
      <c r="J77" s="11">
        <v>0</v>
      </c>
    </row>
    <row r="78" spans="1:10" hidden="1" x14ac:dyDescent="0.3">
      <c r="A78" s="10">
        <v>46027</v>
      </c>
      <c r="B78" t="s">
        <v>19</v>
      </c>
      <c r="C78" t="str">
        <f t="shared" si="4"/>
        <v>34285617878</v>
      </c>
      <c r="D78" t="str">
        <f t="shared" si="5"/>
        <v>379851261378</v>
      </c>
      <c r="E78" t="str">
        <f t="shared" si="6"/>
        <v>Client78</v>
      </c>
      <c r="F78" t="str">
        <f t="shared" si="7"/>
        <v>BOB78</v>
      </c>
      <c r="G78" t="s">
        <v>22</v>
      </c>
      <c r="H78" t="s">
        <v>23</v>
      </c>
      <c r="I78" s="11">
        <v>5994000</v>
      </c>
      <c r="J78" s="11">
        <v>0</v>
      </c>
    </row>
    <row r="79" spans="1:10" hidden="1" x14ac:dyDescent="0.3">
      <c r="A79" s="10">
        <v>46027</v>
      </c>
      <c r="B79" t="s">
        <v>19</v>
      </c>
      <c r="C79" t="str">
        <f t="shared" si="4"/>
        <v>34285617879</v>
      </c>
      <c r="D79" t="str">
        <f t="shared" si="5"/>
        <v>379851261379</v>
      </c>
      <c r="E79" t="str">
        <f t="shared" si="6"/>
        <v>Client79</v>
      </c>
      <c r="F79" t="str">
        <f t="shared" si="7"/>
        <v>BOB79</v>
      </c>
      <c r="G79" t="s">
        <v>25</v>
      </c>
      <c r="H79" t="s">
        <v>21</v>
      </c>
      <c r="I79" s="11">
        <v>5700000</v>
      </c>
      <c r="J79" s="11">
        <v>5000000</v>
      </c>
    </row>
    <row r="80" spans="1:10" hidden="1" x14ac:dyDescent="0.3">
      <c r="A80" s="10">
        <v>46027</v>
      </c>
      <c r="B80" t="s">
        <v>19</v>
      </c>
      <c r="C80" t="str">
        <f t="shared" si="4"/>
        <v>34285617880</v>
      </c>
      <c r="D80" t="str">
        <f t="shared" si="5"/>
        <v>379851261380</v>
      </c>
      <c r="E80" t="str">
        <f t="shared" si="6"/>
        <v>Client80</v>
      </c>
      <c r="F80" t="str">
        <f t="shared" si="7"/>
        <v>BOB80</v>
      </c>
      <c r="G80" t="s">
        <v>25</v>
      </c>
      <c r="H80" t="s">
        <v>21</v>
      </c>
      <c r="I80" s="11">
        <v>5700000</v>
      </c>
      <c r="J80" s="11">
        <v>0</v>
      </c>
    </row>
    <row r="81" spans="1:10" hidden="1" x14ac:dyDescent="0.3">
      <c r="A81" s="10">
        <v>46027</v>
      </c>
      <c r="B81" t="s">
        <v>19</v>
      </c>
      <c r="C81" t="str">
        <f t="shared" si="4"/>
        <v>34285617881</v>
      </c>
      <c r="D81" t="str">
        <f t="shared" si="5"/>
        <v>379851261381</v>
      </c>
      <c r="E81" t="str">
        <f t="shared" si="6"/>
        <v>Client81</v>
      </c>
      <c r="F81" t="str">
        <f t="shared" si="7"/>
        <v>BOB81</v>
      </c>
      <c r="G81" t="s">
        <v>25</v>
      </c>
      <c r="H81" t="s">
        <v>21</v>
      </c>
      <c r="I81" s="11">
        <v>5400000</v>
      </c>
      <c r="J81" s="11">
        <v>0</v>
      </c>
    </row>
    <row r="82" spans="1:10" hidden="1" x14ac:dyDescent="0.3">
      <c r="A82" s="10">
        <v>46027</v>
      </c>
      <c r="B82" t="s">
        <v>19</v>
      </c>
      <c r="C82" t="str">
        <f t="shared" si="4"/>
        <v>34285617882</v>
      </c>
      <c r="D82" t="str">
        <f t="shared" si="5"/>
        <v>379851261382</v>
      </c>
      <c r="E82" t="str">
        <f t="shared" si="6"/>
        <v>Client82</v>
      </c>
      <c r="F82" t="str">
        <f t="shared" si="7"/>
        <v>BOB82</v>
      </c>
      <c r="I82" s="11">
        <v>5400000</v>
      </c>
      <c r="J82" s="11">
        <v>0</v>
      </c>
    </row>
    <row r="83" spans="1:10" hidden="1" x14ac:dyDescent="0.3">
      <c r="A83" s="10">
        <v>46027</v>
      </c>
      <c r="B83" t="s">
        <v>19</v>
      </c>
      <c r="C83" t="str">
        <f t="shared" si="4"/>
        <v>34285617883</v>
      </c>
      <c r="D83" t="str">
        <f t="shared" si="5"/>
        <v>379851261383</v>
      </c>
      <c r="E83" t="str">
        <f t="shared" si="6"/>
        <v>Client83</v>
      </c>
      <c r="F83" t="str">
        <f t="shared" si="7"/>
        <v>BOB83</v>
      </c>
      <c r="G83" t="s">
        <v>25</v>
      </c>
      <c r="H83" t="s">
        <v>21</v>
      </c>
      <c r="I83" s="11">
        <v>5240000</v>
      </c>
      <c r="J83" s="11">
        <v>1550000</v>
      </c>
    </row>
    <row r="84" spans="1:10" hidden="1" x14ac:dyDescent="0.3">
      <c r="A84" s="10">
        <v>46027</v>
      </c>
      <c r="B84" t="s">
        <v>19</v>
      </c>
      <c r="C84" t="str">
        <f t="shared" si="4"/>
        <v>34285617884</v>
      </c>
      <c r="D84" t="str">
        <f t="shared" si="5"/>
        <v>379851261384</v>
      </c>
      <c r="E84" t="str">
        <f t="shared" si="6"/>
        <v>Client84</v>
      </c>
      <c r="F84" t="str">
        <f t="shared" si="7"/>
        <v>BOB84</v>
      </c>
      <c r="G84" t="s">
        <v>25</v>
      </c>
      <c r="H84" t="s">
        <v>21</v>
      </c>
      <c r="I84" s="11">
        <v>5153800</v>
      </c>
      <c r="J84" s="11">
        <v>1950000</v>
      </c>
    </row>
    <row r="85" spans="1:10" hidden="1" x14ac:dyDescent="0.3">
      <c r="A85" s="10">
        <v>46027</v>
      </c>
      <c r="B85" t="s">
        <v>19</v>
      </c>
      <c r="C85" t="str">
        <f t="shared" si="4"/>
        <v>34285617885</v>
      </c>
      <c r="D85" t="str">
        <f t="shared" si="5"/>
        <v>379851261385</v>
      </c>
      <c r="E85" t="str">
        <f t="shared" si="6"/>
        <v>Client85</v>
      </c>
      <c r="F85" t="str">
        <f t="shared" si="7"/>
        <v>BOB85</v>
      </c>
      <c r="G85" t="s">
        <v>20</v>
      </c>
      <c r="H85" t="s">
        <v>21</v>
      </c>
      <c r="I85" s="11">
        <v>5000000</v>
      </c>
      <c r="J85" s="11">
        <v>1000000</v>
      </c>
    </row>
    <row r="86" spans="1:10" x14ac:dyDescent="0.3">
      <c r="A86" s="10">
        <v>46027</v>
      </c>
      <c r="B86" t="s">
        <v>19</v>
      </c>
      <c r="C86" t="str">
        <f t="shared" si="4"/>
        <v>34285617886</v>
      </c>
      <c r="D86" t="str">
        <f t="shared" si="5"/>
        <v>379851261386</v>
      </c>
      <c r="E86" t="str">
        <f t="shared" si="6"/>
        <v>Client86</v>
      </c>
      <c r="F86" t="str">
        <f t="shared" si="7"/>
        <v>BOB86</v>
      </c>
      <c r="G86" t="s">
        <v>24</v>
      </c>
      <c r="H86" t="s">
        <v>21</v>
      </c>
      <c r="I86" s="11">
        <v>5000000</v>
      </c>
      <c r="J86" s="11">
        <v>0</v>
      </c>
    </row>
    <row r="87" spans="1:10" hidden="1" x14ac:dyDescent="0.3">
      <c r="A87" s="10">
        <v>46027</v>
      </c>
      <c r="B87" t="s">
        <v>19</v>
      </c>
      <c r="C87" t="str">
        <f t="shared" si="4"/>
        <v>34285617887</v>
      </c>
      <c r="D87" t="str">
        <f t="shared" si="5"/>
        <v>379851261387</v>
      </c>
      <c r="E87" t="str">
        <f t="shared" si="6"/>
        <v>Client87</v>
      </c>
      <c r="F87" t="str">
        <f t="shared" si="7"/>
        <v>BOB87</v>
      </c>
      <c r="G87" t="s">
        <v>25</v>
      </c>
      <c r="H87" t="s">
        <v>21</v>
      </c>
      <c r="I87" s="11">
        <v>5000000</v>
      </c>
      <c r="J87" s="11">
        <v>0</v>
      </c>
    </row>
    <row r="88" spans="1:10" hidden="1" x14ac:dyDescent="0.3">
      <c r="A88" s="10">
        <v>46027</v>
      </c>
      <c r="B88" t="s">
        <v>19</v>
      </c>
      <c r="C88" t="str">
        <f t="shared" si="4"/>
        <v>34285617888</v>
      </c>
      <c r="D88" t="str">
        <f t="shared" si="5"/>
        <v>379851261388</v>
      </c>
      <c r="E88" t="str">
        <f t="shared" si="6"/>
        <v>Client88</v>
      </c>
      <c r="F88" t="str">
        <f t="shared" si="7"/>
        <v>BOB88</v>
      </c>
      <c r="G88" t="s">
        <v>20</v>
      </c>
      <c r="H88" t="s">
        <v>21</v>
      </c>
      <c r="I88" s="11">
        <v>5000000</v>
      </c>
      <c r="J88" s="11">
        <v>2500000</v>
      </c>
    </row>
    <row r="89" spans="1:10" hidden="1" x14ac:dyDescent="0.3">
      <c r="A89" s="10">
        <v>46027</v>
      </c>
      <c r="B89" t="s">
        <v>19</v>
      </c>
      <c r="C89" t="str">
        <f t="shared" si="4"/>
        <v>34285617889</v>
      </c>
      <c r="D89" t="str">
        <f t="shared" si="5"/>
        <v>379851261389</v>
      </c>
      <c r="E89" t="str">
        <f t="shared" si="6"/>
        <v>Client89</v>
      </c>
      <c r="F89" t="str">
        <f t="shared" si="7"/>
        <v>BOB89</v>
      </c>
      <c r="G89" t="s">
        <v>22</v>
      </c>
      <c r="H89" t="s">
        <v>23</v>
      </c>
      <c r="I89" s="11">
        <v>5000000</v>
      </c>
      <c r="J89" s="11">
        <v>15000000</v>
      </c>
    </row>
    <row r="90" spans="1:10" hidden="1" x14ac:dyDescent="0.3">
      <c r="A90" s="10">
        <v>46027</v>
      </c>
      <c r="B90" t="s">
        <v>19</v>
      </c>
      <c r="C90" t="str">
        <f t="shared" si="4"/>
        <v>34285617890</v>
      </c>
      <c r="D90" t="str">
        <f t="shared" si="5"/>
        <v>379851261390</v>
      </c>
      <c r="E90" t="str">
        <f t="shared" si="6"/>
        <v>Client90</v>
      </c>
      <c r="F90" t="str">
        <f t="shared" si="7"/>
        <v>BOB90</v>
      </c>
      <c r="G90" t="s">
        <v>20</v>
      </c>
      <c r="H90" t="s">
        <v>21</v>
      </c>
      <c r="I90" s="11">
        <v>4994000</v>
      </c>
      <c r="J90" s="11">
        <v>0</v>
      </c>
    </row>
    <row r="91" spans="1:10" hidden="1" x14ac:dyDescent="0.3">
      <c r="A91" s="10">
        <v>46027</v>
      </c>
      <c r="B91" t="s">
        <v>19</v>
      </c>
      <c r="C91" t="str">
        <f t="shared" si="4"/>
        <v>34285617891</v>
      </c>
      <c r="D91" t="str">
        <f t="shared" si="5"/>
        <v>379851261391</v>
      </c>
      <c r="E91" t="str">
        <f t="shared" si="6"/>
        <v>Client91</v>
      </c>
      <c r="F91" t="str">
        <f t="shared" si="7"/>
        <v>BOB91</v>
      </c>
      <c r="G91" t="s">
        <v>25</v>
      </c>
      <c r="H91" t="s">
        <v>21</v>
      </c>
      <c r="I91" s="11">
        <v>4721000</v>
      </c>
      <c r="J91" s="11">
        <v>1841000</v>
      </c>
    </row>
    <row r="92" spans="1:10" hidden="1" x14ac:dyDescent="0.3">
      <c r="A92" s="10">
        <v>46027</v>
      </c>
      <c r="B92" t="s">
        <v>19</v>
      </c>
      <c r="C92" t="str">
        <f t="shared" si="4"/>
        <v>34285617892</v>
      </c>
      <c r="D92" t="str">
        <f t="shared" si="5"/>
        <v>379851261392</v>
      </c>
      <c r="E92" t="str">
        <f t="shared" si="6"/>
        <v>Client92</v>
      </c>
      <c r="F92" t="str">
        <f t="shared" si="7"/>
        <v>BOB92</v>
      </c>
      <c r="G92" t="s">
        <v>25</v>
      </c>
      <c r="H92" t="s">
        <v>21</v>
      </c>
      <c r="I92" s="11">
        <v>4611000</v>
      </c>
      <c r="J92" s="11">
        <v>3551000</v>
      </c>
    </row>
    <row r="93" spans="1:10" x14ac:dyDescent="0.3">
      <c r="A93" s="10">
        <v>46027</v>
      </c>
      <c r="B93" t="s">
        <v>19</v>
      </c>
      <c r="C93" t="str">
        <f t="shared" si="4"/>
        <v>34285617893</v>
      </c>
      <c r="D93" t="str">
        <f t="shared" si="5"/>
        <v>379851261393</v>
      </c>
      <c r="E93" t="str">
        <f t="shared" si="6"/>
        <v>Client93</v>
      </c>
      <c r="F93" t="str">
        <f t="shared" si="7"/>
        <v>BOB93</v>
      </c>
      <c r="G93" t="s">
        <v>24</v>
      </c>
      <c r="H93" t="s">
        <v>21</v>
      </c>
      <c r="I93" s="11">
        <v>4500000</v>
      </c>
      <c r="J93" s="11">
        <v>14115000</v>
      </c>
    </row>
    <row r="94" spans="1:10" hidden="1" x14ac:dyDescent="0.3">
      <c r="A94" s="10">
        <v>46027</v>
      </c>
      <c r="B94" t="s">
        <v>19</v>
      </c>
      <c r="C94" t="str">
        <f t="shared" si="4"/>
        <v>34285617894</v>
      </c>
      <c r="D94" t="str">
        <f t="shared" si="5"/>
        <v>379851261394</v>
      </c>
      <c r="E94" t="str">
        <f t="shared" si="6"/>
        <v>Client94</v>
      </c>
      <c r="F94" t="str">
        <f t="shared" si="7"/>
        <v>BOB94</v>
      </c>
      <c r="G94" t="s">
        <v>25</v>
      </c>
      <c r="H94" t="s">
        <v>21</v>
      </c>
      <c r="I94" s="11">
        <v>4500000</v>
      </c>
      <c r="J94" s="11">
        <v>6000000</v>
      </c>
    </row>
    <row r="95" spans="1:10" hidden="1" x14ac:dyDescent="0.3">
      <c r="A95" s="10">
        <v>46027</v>
      </c>
      <c r="B95" t="s">
        <v>19</v>
      </c>
      <c r="C95" t="str">
        <f t="shared" si="4"/>
        <v>34285617895</v>
      </c>
      <c r="D95" t="str">
        <f t="shared" si="5"/>
        <v>379851261395</v>
      </c>
      <c r="E95" t="str">
        <f t="shared" si="6"/>
        <v>Client95</v>
      </c>
      <c r="F95" t="str">
        <f t="shared" si="7"/>
        <v>BOB95</v>
      </c>
      <c r="G95" t="s">
        <v>25</v>
      </c>
      <c r="H95" t="s">
        <v>21</v>
      </c>
      <c r="I95" s="11">
        <v>4450000</v>
      </c>
      <c r="J95" s="11">
        <v>13500000</v>
      </c>
    </row>
    <row r="96" spans="1:10" hidden="1" x14ac:dyDescent="0.3">
      <c r="A96" s="10">
        <v>46027</v>
      </c>
      <c r="B96" t="s">
        <v>19</v>
      </c>
      <c r="C96" t="str">
        <f t="shared" si="4"/>
        <v>34285617896</v>
      </c>
      <c r="D96" t="str">
        <f t="shared" si="5"/>
        <v>379851261396</v>
      </c>
      <c r="E96" t="str">
        <f t="shared" si="6"/>
        <v>Client96</v>
      </c>
      <c r="F96" t="str">
        <f t="shared" si="7"/>
        <v>BOB96</v>
      </c>
      <c r="I96" s="11">
        <v>4200000</v>
      </c>
      <c r="J96" s="11">
        <v>5200000</v>
      </c>
    </row>
    <row r="97" spans="1:10" hidden="1" x14ac:dyDescent="0.3">
      <c r="A97" s="10">
        <v>46027</v>
      </c>
      <c r="B97" t="s">
        <v>19</v>
      </c>
      <c r="C97" t="str">
        <f t="shared" si="4"/>
        <v>34285617897</v>
      </c>
      <c r="D97" t="str">
        <f t="shared" si="5"/>
        <v>379851261397</v>
      </c>
      <c r="E97" t="str">
        <f t="shared" si="6"/>
        <v>Client97</v>
      </c>
      <c r="F97" t="str">
        <f t="shared" si="7"/>
        <v>BOB97</v>
      </c>
      <c r="G97" t="s">
        <v>25</v>
      </c>
      <c r="H97" t="s">
        <v>21</v>
      </c>
      <c r="I97" s="11">
        <v>4173000</v>
      </c>
      <c r="J97" s="11">
        <v>11523000</v>
      </c>
    </row>
    <row r="98" spans="1:10" x14ac:dyDescent="0.3">
      <c r="A98" s="10">
        <v>46027</v>
      </c>
      <c r="B98" t="s">
        <v>19</v>
      </c>
      <c r="C98" t="str">
        <f t="shared" si="4"/>
        <v>34285617898</v>
      </c>
      <c r="D98" t="str">
        <f t="shared" si="5"/>
        <v>379851261398</v>
      </c>
      <c r="E98" t="str">
        <f t="shared" si="6"/>
        <v>Client98</v>
      </c>
      <c r="F98" t="str">
        <f t="shared" si="7"/>
        <v>BOB98</v>
      </c>
      <c r="G98" t="s">
        <v>24</v>
      </c>
      <c r="H98" t="s">
        <v>21</v>
      </c>
      <c r="I98" s="11">
        <v>4000000</v>
      </c>
      <c r="J98" s="11">
        <v>0</v>
      </c>
    </row>
    <row r="99" spans="1:10" x14ac:dyDescent="0.3">
      <c r="A99" s="10">
        <v>46027</v>
      </c>
      <c r="B99" t="s">
        <v>19</v>
      </c>
      <c r="C99" t="str">
        <f t="shared" si="4"/>
        <v>34285617899</v>
      </c>
      <c r="D99" t="str">
        <f t="shared" si="5"/>
        <v>379851261399</v>
      </c>
      <c r="E99" t="str">
        <f t="shared" si="6"/>
        <v>Client99</v>
      </c>
      <c r="F99" t="str">
        <f t="shared" si="7"/>
        <v>BOB99</v>
      </c>
      <c r="G99" t="s">
        <v>24</v>
      </c>
      <c r="H99" t="s">
        <v>21</v>
      </c>
      <c r="I99" s="11">
        <v>4000000</v>
      </c>
      <c r="J99" s="11">
        <v>0</v>
      </c>
    </row>
    <row r="100" spans="1:10" hidden="1" x14ac:dyDescent="0.3">
      <c r="A100" s="10">
        <v>46027</v>
      </c>
      <c r="B100" t="s">
        <v>19</v>
      </c>
      <c r="C100" t="str">
        <f t="shared" si="4"/>
        <v>342856178100</v>
      </c>
      <c r="D100" t="str">
        <f t="shared" si="5"/>
        <v>3798512613100</v>
      </c>
      <c r="E100" t="str">
        <f t="shared" si="6"/>
        <v>Client100</v>
      </c>
      <c r="F100" t="str">
        <f t="shared" si="7"/>
        <v>BOB100</v>
      </c>
      <c r="G100" t="s">
        <v>20</v>
      </c>
      <c r="H100" t="s">
        <v>21</v>
      </c>
      <c r="I100" s="11">
        <v>4000000</v>
      </c>
      <c r="J100" s="11">
        <v>0</v>
      </c>
    </row>
    <row r="101" spans="1:10" hidden="1" x14ac:dyDescent="0.3">
      <c r="A101" s="10">
        <v>46027</v>
      </c>
      <c r="B101" t="s">
        <v>19</v>
      </c>
      <c r="C101" t="str">
        <f t="shared" si="4"/>
        <v>342856178101</v>
      </c>
      <c r="D101" t="str">
        <f t="shared" si="5"/>
        <v>3798512613101</v>
      </c>
      <c r="E101" t="str">
        <f t="shared" si="6"/>
        <v>Client101</v>
      </c>
      <c r="F101" t="str">
        <f t="shared" si="7"/>
        <v>BOB101</v>
      </c>
      <c r="I101" s="11">
        <v>4000000</v>
      </c>
      <c r="J101" s="11">
        <v>0</v>
      </c>
    </row>
    <row r="102" spans="1:10" hidden="1" x14ac:dyDescent="0.3">
      <c r="A102" s="10">
        <v>46027</v>
      </c>
      <c r="B102" t="s">
        <v>19</v>
      </c>
      <c r="C102" t="str">
        <f t="shared" si="4"/>
        <v>342856178102</v>
      </c>
      <c r="D102" t="str">
        <f t="shared" si="5"/>
        <v>3798512613102</v>
      </c>
      <c r="E102" t="str">
        <f t="shared" si="6"/>
        <v>Client102</v>
      </c>
      <c r="F102" t="str">
        <f t="shared" si="7"/>
        <v>BOB102</v>
      </c>
      <c r="G102" t="s">
        <v>25</v>
      </c>
      <c r="H102" t="s">
        <v>21</v>
      </c>
      <c r="I102" s="11">
        <v>3601000</v>
      </c>
      <c r="J102" s="11">
        <v>1101000</v>
      </c>
    </row>
    <row r="103" spans="1:10" hidden="1" x14ac:dyDescent="0.3">
      <c r="A103" s="10">
        <v>46027</v>
      </c>
      <c r="B103" t="s">
        <v>19</v>
      </c>
      <c r="C103" t="str">
        <f t="shared" si="4"/>
        <v>342856178103</v>
      </c>
      <c r="D103" t="str">
        <f t="shared" si="5"/>
        <v>3798512613103</v>
      </c>
      <c r="E103" t="str">
        <f t="shared" si="6"/>
        <v>Client103</v>
      </c>
      <c r="F103" t="str">
        <f t="shared" si="7"/>
        <v>BOB103</v>
      </c>
      <c r="G103" t="s">
        <v>20</v>
      </c>
      <c r="H103" t="s">
        <v>21</v>
      </c>
      <c r="I103" s="11">
        <v>3600000</v>
      </c>
      <c r="J103" s="11">
        <v>0</v>
      </c>
    </row>
    <row r="104" spans="1:10" hidden="1" x14ac:dyDescent="0.3">
      <c r="A104" s="10">
        <v>46027</v>
      </c>
      <c r="B104" t="s">
        <v>19</v>
      </c>
      <c r="C104" t="str">
        <f t="shared" si="4"/>
        <v>342856178104</v>
      </c>
      <c r="D104" t="str">
        <f t="shared" si="5"/>
        <v>3798512613104</v>
      </c>
      <c r="E104" t="str">
        <f t="shared" si="6"/>
        <v>Client104</v>
      </c>
      <c r="F104" t="str">
        <f t="shared" si="7"/>
        <v>BOB104</v>
      </c>
      <c r="I104" s="11">
        <v>3600000</v>
      </c>
      <c r="J104" s="11">
        <v>0</v>
      </c>
    </row>
    <row r="105" spans="1:10" hidden="1" x14ac:dyDescent="0.3">
      <c r="A105" s="10">
        <v>46027</v>
      </c>
      <c r="B105" t="s">
        <v>19</v>
      </c>
      <c r="C105" t="str">
        <f t="shared" si="4"/>
        <v>342856178105</v>
      </c>
      <c r="D105" t="str">
        <f t="shared" si="5"/>
        <v>3798512613105</v>
      </c>
      <c r="E105" t="str">
        <f t="shared" si="6"/>
        <v>Client105</v>
      </c>
      <c r="F105" t="str">
        <f t="shared" si="7"/>
        <v>BOB105</v>
      </c>
      <c r="G105" t="s">
        <v>24</v>
      </c>
      <c r="H105" t="s">
        <v>21</v>
      </c>
      <c r="I105" s="11">
        <v>3500000</v>
      </c>
      <c r="J105" s="11">
        <v>0</v>
      </c>
    </row>
    <row r="106" spans="1:10" hidden="1" x14ac:dyDescent="0.3">
      <c r="A106" s="10">
        <v>46027</v>
      </c>
      <c r="B106" t="s">
        <v>19</v>
      </c>
      <c r="C106" t="str">
        <f t="shared" si="4"/>
        <v>342856178106</v>
      </c>
      <c r="D106" t="str">
        <f t="shared" si="5"/>
        <v>3798512613106</v>
      </c>
      <c r="E106" t="str">
        <f t="shared" si="6"/>
        <v>Client106</v>
      </c>
      <c r="F106" t="str">
        <f t="shared" si="7"/>
        <v>BOB106</v>
      </c>
      <c r="G106" t="s">
        <v>22</v>
      </c>
      <c r="H106" t="s">
        <v>23</v>
      </c>
      <c r="I106" s="11">
        <v>3500000</v>
      </c>
      <c r="J106" s="11">
        <v>2004000</v>
      </c>
    </row>
    <row r="107" spans="1:10" hidden="1" x14ac:dyDescent="0.3">
      <c r="A107" s="10">
        <v>46027</v>
      </c>
      <c r="B107" t="s">
        <v>19</v>
      </c>
      <c r="C107" t="str">
        <f t="shared" si="4"/>
        <v>342856178107</v>
      </c>
      <c r="D107" t="str">
        <f t="shared" si="5"/>
        <v>3798512613107</v>
      </c>
      <c r="E107" t="str">
        <f t="shared" si="6"/>
        <v>Client107</v>
      </c>
      <c r="F107" t="str">
        <f t="shared" si="7"/>
        <v>BOB107</v>
      </c>
      <c r="G107" t="s">
        <v>24</v>
      </c>
      <c r="H107" t="s">
        <v>21</v>
      </c>
      <c r="I107" s="11">
        <v>3450000</v>
      </c>
      <c r="J107" s="11">
        <v>0</v>
      </c>
    </row>
    <row r="108" spans="1:10" hidden="1" x14ac:dyDescent="0.3">
      <c r="A108" s="10">
        <v>46027</v>
      </c>
      <c r="B108" t="s">
        <v>19</v>
      </c>
      <c r="C108" t="str">
        <f t="shared" si="4"/>
        <v>342856178108</v>
      </c>
      <c r="D108" t="str">
        <f t="shared" si="5"/>
        <v>3798512613108</v>
      </c>
      <c r="E108" t="str">
        <f t="shared" si="6"/>
        <v>Client108</v>
      </c>
      <c r="F108" t="str">
        <f t="shared" si="7"/>
        <v>BOB108</v>
      </c>
      <c r="G108" t="s">
        <v>25</v>
      </c>
      <c r="H108" t="s">
        <v>21</v>
      </c>
      <c r="I108" s="11">
        <v>3450000</v>
      </c>
      <c r="J108" s="11">
        <v>43800000</v>
      </c>
    </row>
    <row r="109" spans="1:10" hidden="1" x14ac:dyDescent="0.3">
      <c r="A109" s="10">
        <v>46027</v>
      </c>
      <c r="B109" t="s">
        <v>19</v>
      </c>
      <c r="C109" t="str">
        <f t="shared" si="4"/>
        <v>342856178109</v>
      </c>
      <c r="D109" t="str">
        <f t="shared" si="5"/>
        <v>3798512613109</v>
      </c>
      <c r="E109" t="str">
        <f t="shared" si="6"/>
        <v>Client109</v>
      </c>
      <c r="F109" t="str">
        <f t="shared" si="7"/>
        <v>BOB109</v>
      </c>
      <c r="G109" t="s">
        <v>25</v>
      </c>
      <c r="H109" t="s">
        <v>21</v>
      </c>
      <c r="I109" s="11">
        <v>3421000</v>
      </c>
      <c r="J109" s="11">
        <v>10556000</v>
      </c>
    </row>
    <row r="110" spans="1:10" hidden="1" x14ac:dyDescent="0.3">
      <c r="A110" s="10">
        <v>46027</v>
      </c>
      <c r="B110" t="s">
        <v>19</v>
      </c>
      <c r="C110" t="str">
        <f t="shared" si="4"/>
        <v>342856178110</v>
      </c>
      <c r="D110" t="str">
        <f t="shared" si="5"/>
        <v>3798512613110</v>
      </c>
      <c r="E110" t="str">
        <f t="shared" si="6"/>
        <v>Client110</v>
      </c>
      <c r="F110" t="str">
        <f t="shared" si="7"/>
        <v>BOB110</v>
      </c>
      <c r="G110" t="s">
        <v>25</v>
      </c>
      <c r="H110" t="s">
        <v>21</v>
      </c>
      <c r="I110" s="11">
        <v>3274000</v>
      </c>
      <c r="J110" s="11">
        <v>2810000</v>
      </c>
    </row>
    <row r="111" spans="1:10" hidden="1" x14ac:dyDescent="0.3">
      <c r="A111" s="10">
        <v>46027</v>
      </c>
      <c r="B111" t="s">
        <v>19</v>
      </c>
      <c r="C111" t="str">
        <f t="shared" si="4"/>
        <v>342856178111</v>
      </c>
      <c r="D111" t="str">
        <f t="shared" si="5"/>
        <v>3798512613111</v>
      </c>
      <c r="E111" t="str">
        <f t="shared" si="6"/>
        <v>Client111</v>
      </c>
      <c r="F111" t="str">
        <f t="shared" si="7"/>
        <v>BOB111</v>
      </c>
      <c r="G111" t="s">
        <v>22</v>
      </c>
      <c r="H111" t="s">
        <v>23</v>
      </c>
      <c r="I111" s="11">
        <v>3200000</v>
      </c>
      <c r="J111" s="11">
        <v>0</v>
      </c>
    </row>
    <row r="112" spans="1:10" hidden="1" x14ac:dyDescent="0.3">
      <c r="A112" s="10">
        <v>46027</v>
      </c>
      <c r="B112" t="s">
        <v>19</v>
      </c>
      <c r="C112" t="str">
        <f t="shared" si="4"/>
        <v>342856178112</v>
      </c>
      <c r="D112" t="str">
        <f t="shared" si="5"/>
        <v>3798512613112</v>
      </c>
      <c r="E112" t="str">
        <f t="shared" si="6"/>
        <v>Client112</v>
      </c>
      <c r="F112" t="str">
        <f t="shared" si="7"/>
        <v>BOB112</v>
      </c>
      <c r="G112" t="s">
        <v>22</v>
      </c>
      <c r="H112" t="s">
        <v>23</v>
      </c>
      <c r="I112" s="11">
        <v>3120000</v>
      </c>
      <c r="J112" s="11">
        <v>4904900</v>
      </c>
    </row>
    <row r="113" spans="1:10" hidden="1" x14ac:dyDescent="0.3">
      <c r="A113" s="10">
        <v>46027</v>
      </c>
      <c r="B113" t="s">
        <v>19</v>
      </c>
      <c r="C113" t="str">
        <f t="shared" si="4"/>
        <v>342856178113</v>
      </c>
      <c r="D113" t="str">
        <f t="shared" si="5"/>
        <v>3798512613113</v>
      </c>
      <c r="E113" t="str">
        <f t="shared" si="6"/>
        <v>Client113</v>
      </c>
      <c r="F113" t="str">
        <f t="shared" si="7"/>
        <v>BOB113</v>
      </c>
      <c r="G113" t="s">
        <v>25</v>
      </c>
      <c r="H113" t="s">
        <v>21</v>
      </c>
      <c r="I113" s="11">
        <v>3091500</v>
      </c>
      <c r="J113" s="11">
        <v>1300000</v>
      </c>
    </row>
    <row r="114" spans="1:10" hidden="1" x14ac:dyDescent="0.3">
      <c r="A114" s="10">
        <v>46027</v>
      </c>
      <c r="B114" t="s">
        <v>19</v>
      </c>
      <c r="C114" t="str">
        <f t="shared" si="4"/>
        <v>342856178114</v>
      </c>
      <c r="D114" t="str">
        <f t="shared" si="5"/>
        <v>3798512613114</v>
      </c>
      <c r="E114" t="str">
        <f t="shared" si="6"/>
        <v>Client114</v>
      </c>
      <c r="F114" t="str">
        <f t="shared" si="7"/>
        <v>BOB114</v>
      </c>
      <c r="G114" t="s">
        <v>25</v>
      </c>
      <c r="H114" t="s">
        <v>21</v>
      </c>
      <c r="I114" s="11">
        <v>3006300</v>
      </c>
      <c r="J114" s="11">
        <v>10477500</v>
      </c>
    </row>
    <row r="115" spans="1:10" hidden="1" x14ac:dyDescent="0.3">
      <c r="A115" s="10">
        <v>46027</v>
      </c>
      <c r="B115" t="s">
        <v>19</v>
      </c>
      <c r="C115" t="str">
        <f t="shared" si="4"/>
        <v>342856178115</v>
      </c>
      <c r="D115" t="str">
        <f t="shared" si="5"/>
        <v>3798512613115</v>
      </c>
      <c r="E115" t="str">
        <f t="shared" si="6"/>
        <v>Client115</v>
      </c>
      <c r="F115" t="str">
        <f t="shared" si="7"/>
        <v>BOB115</v>
      </c>
      <c r="G115" t="s">
        <v>25</v>
      </c>
      <c r="H115" t="s">
        <v>21</v>
      </c>
      <c r="I115" s="11">
        <v>3002000</v>
      </c>
      <c r="J115" s="11">
        <v>4514800</v>
      </c>
    </row>
    <row r="116" spans="1:10" hidden="1" x14ac:dyDescent="0.3">
      <c r="A116" s="10">
        <v>46027</v>
      </c>
      <c r="B116" t="s">
        <v>19</v>
      </c>
      <c r="C116" t="str">
        <f t="shared" si="4"/>
        <v>342856178116</v>
      </c>
      <c r="D116" t="str">
        <f t="shared" si="5"/>
        <v>3798512613116</v>
      </c>
      <c r="E116" t="str">
        <f t="shared" si="6"/>
        <v>Client116</v>
      </c>
      <c r="F116" t="str">
        <f t="shared" si="7"/>
        <v>BOB116</v>
      </c>
      <c r="G116" t="s">
        <v>20</v>
      </c>
      <c r="H116" t="s">
        <v>21</v>
      </c>
      <c r="I116" s="11">
        <v>3000000</v>
      </c>
      <c r="J116" s="11">
        <v>0</v>
      </c>
    </row>
    <row r="117" spans="1:10" x14ac:dyDescent="0.3">
      <c r="A117" s="10">
        <v>46027</v>
      </c>
      <c r="B117" t="s">
        <v>19</v>
      </c>
      <c r="C117" t="str">
        <f t="shared" si="4"/>
        <v>342856178117</v>
      </c>
      <c r="D117" t="str">
        <f t="shared" si="5"/>
        <v>3798512613117</v>
      </c>
      <c r="E117" t="str">
        <f t="shared" si="6"/>
        <v>Client117</v>
      </c>
      <c r="F117" t="str">
        <f t="shared" si="7"/>
        <v>BOB117</v>
      </c>
      <c r="G117" t="s">
        <v>24</v>
      </c>
      <c r="H117" t="s">
        <v>21</v>
      </c>
      <c r="I117" s="11">
        <v>3000000</v>
      </c>
      <c r="J117" s="11">
        <v>1400000</v>
      </c>
    </row>
    <row r="118" spans="1:10" hidden="1" x14ac:dyDescent="0.3">
      <c r="A118" s="10">
        <v>46027</v>
      </c>
      <c r="B118" t="s">
        <v>19</v>
      </c>
      <c r="C118" t="str">
        <f t="shared" si="4"/>
        <v>342856178118</v>
      </c>
      <c r="D118" t="str">
        <f t="shared" si="5"/>
        <v>3798512613118</v>
      </c>
      <c r="E118" t="str">
        <f t="shared" si="6"/>
        <v>Client118</v>
      </c>
      <c r="F118" t="str">
        <f t="shared" si="7"/>
        <v>BOB118</v>
      </c>
      <c r="I118" s="11">
        <v>3000000</v>
      </c>
      <c r="J118" s="11">
        <v>0</v>
      </c>
    </row>
    <row r="119" spans="1:10" hidden="1" x14ac:dyDescent="0.3">
      <c r="A119" s="10">
        <v>46027</v>
      </c>
      <c r="B119" t="s">
        <v>19</v>
      </c>
      <c r="C119" t="str">
        <f t="shared" si="4"/>
        <v>342856178119</v>
      </c>
      <c r="D119" t="str">
        <f t="shared" si="5"/>
        <v>3798512613119</v>
      </c>
      <c r="E119" t="str">
        <f t="shared" si="6"/>
        <v>Client119</v>
      </c>
      <c r="F119" t="str">
        <f t="shared" si="7"/>
        <v>BOB119</v>
      </c>
      <c r="I119" s="11">
        <v>3000000</v>
      </c>
      <c r="J119" s="11">
        <v>4000000</v>
      </c>
    </row>
    <row r="120" spans="1:10" hidden="1" x14ac:dyDescent="0.3">
      <c r="A120" s="10">
        <v>46027</v>
      </c>
      <c r="B120" t="s">
        <v>19</v>
      </c>
      <c r="C120" t="str">
        <f t="shared" si="4"/>
        <v>342856178120</v>
      </c>
      <c r="D120" t="str">
        <f t="shared" si="5"/>
        <v>3798512613120</v>
      </c>
      <c r="E120" t="str">
        <f t="shared" si="6"/>
        <v>Client120</v>
      </c>
      <c r="F120" t="str">
        <f t="shared" si="7"/>
        <v>BOB120</v>
      </c>
      <c r="G120" t="s">
        <v>22</v>
      </c>
      <c r="H120" t="s">
        <v>23</v>
      </c>
      <c r="I120" s="11">
        <v>2997500</v>
      </c>
      <c r="J120" s="11">
        <v>0</v>
      </c>
    </row>
    <row r="121" spans="1:10" hidden="1" x14ac:dyDescent="0.3">
      <c r="A121" s="10">
        <v>46027</v>
      </c>
      <c r="B121" t="s">
        <v>19</v>
      </c>
      <c r="C121" t="str">
        <f t="shared" si="4"/>
        <v>342856178121</v>
      </c>
      <c r="D121" t="str">
        <f t="shared" si="5"/>
        <v>3798512613121</v>
      </c>
      <c r="E121" t="str">
        <f t="shared" si="6"/>
        <v>Client121</v>
      </c>
      <c r="F121" t="str">
        <f t="shared" si="7"/>
        <v>BOB121</v>
      </c>
      <c r="G121" t="s">
        <v>20</v>
      </c>
      <c r="H121" t="s">
        <v>21</v>
      </c>
      <c r="I121" s="11">
        <v>2900000</v>
      </c>
      <c r="J121" s="11">
        <v>0</v>
      </c>
    </row>
    <row r="122" spans="1:10" hidden="1" x14ac:dyDescent="0.3">
      <c r="A122" s="10">
        <v>46027</v>
      </c>
      <c r="B122" t="s">
        <v>19</v>
      </c>
      <c r="C122" t="str">
        <f t="shared" si="4"/>
        <v>342856178122</v>
      </c>
      <c r="D122" t="str">
        <f t="shared" si="5"/>
        <v>3798512613122</v>
      </c>
      <c r="E122" t="str">
        <f t="shared" si="6"/>
        <v>Client122</v>
      </c>
      <c r="F122" t="str">
        <f t="shared" si="7"/>
        <v>BOB122</v>
      </c>
      <c r="G122" t="s">
        <v>25</v>
      </c>
      <c r="H122" t="s">
        <v>21</v>
      </c>
      <c r="I122" s="11">
        <v>2900000</v>
      </c>
      <c r="J122" s="11">
        <v>0</v>
      </c>
    </row>
    <row r="123" spans="1:10" hidden="1" x14ac:dyDescent="0.3">
      <c r="A123" s="10">
        <v>46027</v>
      </c>
      <c r="B123" t="s">
        <v>19</v>
      </c>
      <c r="C123" t="str">
        <f t="shared" si="4"/>
        <v>342856178123</v>
      </c>
      <c r="D123" t="str">
        <f t="shared" si="5"/>
        <v>3798512613123</v>
      </c>
      <c r="E123" t="str">
        <f t="shared" si="6"/>
        <v>Client123</v>
      </c>
      <c r="F123" t="str">
        <f t="shared" si="7"/>
        <v>BOB123</v>
      </c>
      <c r="G123" t="s">
        <v>25</v>
      </c>
      <c r="H123" t="s">
        <v>21</v>
      </c>
      <c r="I123" s="11">
        <v>2801000</v>
      </c>
      <c r="J123" s="11">
        <v>2300000</v>
      </c>
    </row>
    <row r="124" spans="1:10" hidden="1" x14ac:dyDescent="0.3">
      <c r="A124" s="10">
        <v>46027</v>
      </c>
      <c r="B124" t="s">
        <v>19</v>
      </c>
      <c r="C124" t="str">
        <f t="shared" si="4"/>
        <v>342856178124</v>
      </c>
      <c r="D124" t="str">
        <f t="shared" si="5"/>
        <v>3798512613124</v>
      </c>
      <c r="E124" t="str">
        <f t="shared" si="6"/>
        <v>Client124</v>
      </c>
      <c r="F124" t="str">
        <f t="shared" si="7"/>
        <v>BOB124</v>
      </c>
      <c r="G124" t="s">
        <v>22</v>
      </c>
      <c r="H124" t="s">
        <v>23</v>
      </c>
      <c r="I124" s="11">
        <v>2798200</v>
      </c>
      <c r="J124" s="11">
        <v>0</v>
      </c>
    </row>
    <row r="125" spans="1:10" hidden="1" x14ac:dyDescent="0.3">
      <c r="A125" s="10">
        <v>46027</v>
      </c>
      <c r="B125" t="s">
        <v>19</v>
      </c>
      <c r="C125" t="str">
        <f t="shared" si="4"/>
        <v>342856178125</v>
      </c>
      <c r="D125" t="str">
        <f t="shared" si="5"/>
        <v>3798512613125</v>
      </c>
      <c r="E125" t="str">
        <f t="shared" si="6"/>
        <v>Client125</v>
      </c>
      <c r="F125" t="str">
        <f t="shared" si="7"/>
        <v>BOB125</v>
      </c>
      <c r="G125" t="s">
        <v>25</v>
      </c>
      <c r="H125" t="s">
        <v>21</v>
      </c>
      <c r="I125" s="11">
        <v>2751000</v>
      </c>
      <c r="J125" s="11">
        <v>2111000</v>
      </c>
    </row>
    <row r="126" spans="1:10" hidden="1" x14ac:dyDescent="0.3">
      <c r="A126" s="10">
        <v>46027</v>
      </c>
      <c r="B126" t="s">
        <v>19</v>
      </c>
      <c r="C126" t="str">
        <f t="shared" si="4"/>
        <v>342856178126</v>
      </c>
      <c r="D126" t="str">
        <f t="shared" si="5"/>
        <v>3798512613126</v>
      </c>
      <c r="E126" t="str">
        <f t="shared" si="6"/>
        <v>Client126</v>
      </c>
      <c r="F126" t="str">
        <f t="shared" si="7"/>
        <v>BOB126</v>
      </c>
      <c r="G126" t="s">
        <v>25</v>
      </c>
      <c r="H126" t="s">
        <v>21</v>
      </c>
      <c r="I126" s="11">
        <v>2620000</v>
      </c>
      <c r="J126" s="11">
        <v>2710000</v>
      </c>
    </row>
    <row r="127" spans="1:10" hidden="1" x14ac:dyDescent="0.3">
      <c r="A127" s="10">
        <v>46027</v>
      </c>
      <c r="B127" t="s">
        <v>19</v>
      </c>
      <c r="C127" t="str">
        <f t="shared" si="4"/>
        <v>342856178127</v>
      </c>
      <c r="D127" t="str">
        <f t="shared" si="5"/>
        <v>3798512613127</v>
      </c>
      <c r="E127" t="str">
        <f t="shared" si="6"/>
        <v>Client127</v>
      </c>
      <c r="F127" t="str">
        <f t="shared" si="7"/>
        <v>BOB127</v>
      </c>
      <c r="G127" t="s">
        <v>25</v>
      </c>
      <c r="H127" t="s">
        <v>21</v>
      </c>
      <c r="I127" s="11">
        <v>2620000</v>
      </c>
      <c r="J127" s="11">
        <v>2660000</v>
      </c>
    </row>
    <row r="128" spans="1:10" hidden="1" x14ac:dyDescent="0.3">
      <c r="A128" s="10">
        <v>46027</v>
      </c>
      <c r="B128" t="s">
        <v>19</v>
      </c>
      <c r="C128" t="str">
        <f t="shared" si="4"/>
        <v>342856178128</v>
      </c>
      <c r="D128" t="str">
        <f t="shared" si="5"/>
        <v>3798512613128</v>
      </c>
      <c r="E128" t="str">
        <f t="shared" si="6"/>
        <v>Client128</v>
      </c>
      <c r="F128" t="str">
        <f t="shared" si="7"/>
        <v>BOB128</v>
      </c>
      <c r="G128" t="s">
        <v>25</v>
      </c>
      <c r="H128" t="s">
        <v>21</v>
      </c>
      <c r="I128" s="11">
        <v>2612000</v>
      </c>
      <c r="J128" s="11">
        <v>300100</v>
      </c>
    </row>
    <row r="129" spans="1:10" hidden="1" x14ac:dyDescent="0.3">
      <c r="A129" s="10">
        <v>46027</v>
      </c>
      <c r="B129" t="s">
        <v>19</v>
      </c>
      <c r="C129" t="str">
        <f t="shared" si="4"/>
        <v>342856178129</v>
      </c>
      <c r="D129" t="str">
        <f t="shared" si="5"/>
        <v>3798512613129</v>
      </c>
      <c r="E129" t="str">
        <f t="shared" si="6"/>
        <v>Client129</v>
      </c>
      <c r="F129" t="str">
        <f t="shared" si="7"/>
        <v>BOB129</v>
      </c>
      <c r="G129" t="s">
        <v>25</v>
      </c>
      <c r="H129" t="s">
        <v>21</v>
      </c>
      <c r="I129" s="11">
        <v>2500000</v>
      </c>
      <c r="J129" s="11">
        <v>6501000</v>
      </c>
    </row>
    <row r="130" spans="1:10" hidden="1" x14ac:dyDescent="0.3">
      <c r="A130" s="10">
        <v>46027</v>
      </c>
      <c r="B130" t="s">
        <v>19</v>
      </c>
      <c r="C130" t="str">
        <f t="shared" ref="C130:C193" si="8" xml:space="preserve"> "342856178" &amp; ROW()</f>
        <v>342856178130</v>
      </c>
      <c r="D130" t="str">
        <f t="shared" ref="D130:D193" si="9" xml:space="preserve"> "3798512613" &amp; ROW()</f>
        <v>3798512613130</v>
      </c>
      <c r="E130" t="str">
        <f t="shared" ref="E130:E193" si="10">"Client"&amp;ROW()</f>
        <v>Client130</v>
      </c>
      <c r="F130" t="str">
        <f t="shared" ref="F130:F193" si="11">"BOB"&amp;ROW()</f>
        <v>BOB130</v>
      </c>
      <c r="I130" s="11">
        <v>2500000</v>
      </c>
      <c r="J130" s="11">
        <v>1500000</v>
      </c>
    </row>
    <row r="131" spans="1:10" hidden="1" x14ac:dyDescent="0.3">
      <c r="A131" s="10">
        <v>46027</v>
      </c>
      <c r="B131" t="s">
        <v>19</v>
      </c>
      <c r="C131" t="str">
        <f t="shared" si="8"/>
        <v>342856178131</v>
      </c>
      <c r="D131" t="str">
        <f t="shared" si="9"/>
        <v>3798512613131</v>
      </c>
      <c r="E131" t="str">
        <f t="shared" si="10"/>
        <v>Client131</v>
      </c>
      <c r="F131" t="str">
        <f t="shared" si="11"/>
        <v>BOB131</v>
      </c>
      <c r="G131" t="s">
        <v>20</v>
      </c>
      <c r="H131" t="s">
        <v>21</v>
      </c>
      <c r="I131" s="11">
        <v>2400000</v>
      </c>
      <c r="J131" s="11">
        <v>0</v>
      </c>
    </row>
    <row r="132" spans="1:10" hidden="1" x14ac:dyDescent="0.3">
      <c r="A132" s="10">
        <v>46027</v>
      </c>
      <c r="B132" t="s">
        <v>19</v>
      </c>
      <c r="C132" t="str">
        <f t="shared" si="8"/>
        <v>342856178132</v>
      </c>
      <c r="D132" t="str">
        <f t="shared" si="9"/>
        <v>3798512613132</v>
      </c>
      <c r="E132" t="str">
        <f t="shared" si="10"/>
        <v>Client132</v>
      </c>
      <c r="F132" t="str">
        <f t="shared" si="11"/>
        <v>BOB132</v>
      </c>
      <c r="G132" t="s">
        <v>25</v>
      </c>
      <c r="H132" t="s">
        <v>21</v>
      </c>
      <c r="I132" s="11">
        <v>2350000</v>
      </c>
      <c r="J132" s="11">
        <v>1028000</v>
      </c>
    </row>
    <row r="133" spans="1:10" hidden="1" x14ac:dyDescent="0.3">
      <c r="A133" s="10">
        <v>46027</v>
      </c>
      <c r="B133" t="s">
        <v>19</v>
      </c>
      <c r="C133" t="str">
        <f t="shared" si="8"/>
        <v>342856178133</v>
      </c>
      <c r="D133" t="str">
        <f t="shared" si="9"/>
        <v>3798512613133</v>
      </c>
      <c r="E133" t="str">
        <f t="shared" si="10"/>
        <v>Client133</v>
      </c>
      <c r="F133" t="str">
        <f t="shared" si="11"/>
        <v>BOB133</v>
      </c>
      <c r="G133" t="s">
        <v>22</v>
      </c>
      <c r="H133" t="s">
        <v>23</v>
      </c>
      <c r="I133" s="11">
        <v>2297700</v>
      </c>
      <c r="J133" s="11">
        <v>2402400</v>
      </c>
    </row>
    <row r="134" spans="1:10" hidden="1" x14ac:dyDescent="0.3">
      <c r="A134" s="10">
        <v>46027</v>
      </c>
      <c r="B134" t="s">
        <v>19</v>
      </c>
      <c r="C134" t="str">
        <f t="shared" si="8"/>
        <v>342856178134</v>
      </c>
      <c r="D134" t="str">
        <f t="shared" si="9"/>
        <v>3798512613134</v>
      </c>
      <c r="E134" t="str">
        <f t="shared" si="10"/>
        <v>Client134</v>
      </c>
      <c r="F134" t="str">
        <f t="shared" si="11"/>
        <v>BOB134</v>
      </c>
      <c r="G134" t="s">
        <v>25</v>
      </c>
      <c r="H134" t="s">
        <v>21</v>
      </c>
      <c r="I134" s="11">
        <v>2250000</v>
      </c>
      <c r="J134" s="11">
        <v>2490000</v>
      </c>
    </row>
    <row r="135" spans="1:10" x14ac:dyDescent="0.3">
      <c r="A135" s="10">
        <v>46027</v>
      </c>
      <c r="B135" t="s">
        <v>19</v>
      </c>
      <c r="C135" t="str">
        <f t="shared" si="8"/>
        <v>342856178135</v>
      </c>
      <c r="D135" t="str">
        <f t="shared" si="9"/>
        <v>3798512613135</v>
      </c>
      <c r="E135" t="str">
        <f t="shared" si="10"/>
        <v>Client135</v>
      </c>
      <c r="F135" t="str">
        <f t="shared" si="11"/>
        <v>BOB135</v>
      </c>
      <c r="G135" t="s">
        <v>24</v>
      </c>
      <c r="H135" t="s">
        <v>21</v>
      </c>
      <c r="I135" s="11">
        <v>2200000</v>
      </c>
      <c r="J135" s="11">
        <v>21300000</v>
      </c>
    </row>
    <row r="136" spans="1:10" hidden="1" x14ac:dyDescent="0.3">
      <c r="A136" s="10">
        <v>46027</v>
      </c>
      <c r="B136" t="s">
        <v>19</v>
      </c>
      <c r="C136" t="str">
        <f t="shared" si="8"/>
        <v>342856178136</v>
      </c>
      <c r="D136" t="str">
        <f t="shared" si="9"/>
        <v>3798512613136</v>
      </c>
      <c r="E136" t="str">
        <f t="shared" si="10"/>
        <v>Client136</v>
      </c>
      <c r="F136" t="str">
        <f t="shared" si="11"/>
        <v>BOB136</v>
      </c>
      <c r="G136" t="s">
        <v>25</v>
      </c>
      <c r="H136" t="s">
        <v>21</v>
      </c>
      <c r="I136" s="11">
        <v>2181000</v>
      </c>
      <c r="J136" s="11">
        <v>3430000</v>
      </c>
    </row>
    <row r="137" spans="1:10" hidden="1" x14ac:dyDescent="0.3">
      <c r="A137" s="10">
        <v>46027</v>
      </c>
      <c r="B137" t="s">
        <v>19</v>
      </c>
      <c r="C137" t="str">
        <f t="shared" si="8"/>
        <v>342856178137</v>
      </c>
      <c r="D137" t="str">
        <f t="shared" si="9"/>
        <v>3798512613137</v>
      </c>
      <c r="E137" t="str">
        <f t="shared" si="10"/>
        <v>Client137</v>
      </c>
      <c r="F137" t="str">
        <f t="shared" si="11"/>
        <v>BOB137</v>
      </c>
      <c r="G137" t="s">
        <v>25</v>
      </c>
      <c r="H137" t="s">
        <v>21</v>
      </c>
      <c r="I137" s="11">
        <v>2000000</v>
      </c>
      <c r="J137" s="11">
        <v>2800000</v>
      </c>
    </row>
    <row r="138" spans="1:10" hidden="1" x14ac:dyDescent="0.3">
      <c r="A138" s="10">
        <v>46027</v>
      </c>
      <c r="B138" t="s">
        <v>19</v>
      </c>
      <c r="C138" t="str">
        <f t="shared" si="8"/>
        <v>342856178138</v>
      </c>
      <c r="D138" t="str">
        <f t="shared" si="9"/>
        <v>3798512613138</v>
      </c>
      <c r="E138" t="str">
        <f t="shared" si="10"/>
        <v>Client138</v>
      </c>
      <c r="F138" t="str">
        <f t="shared" si="11"/>
        <v>BOB138</v>
      </c>
      <c r="G138" t="s">
        <v>24</v>
      </c>
      <c r="H138" t="s">
        <v>21</v>
      </c>
      <c r="I138" s="11">
        <v>2000000</v>
      </c>
      <c r="J138" s="11">
        <v>2000000</v>
      </c>
    </row>
    <row r="139" spans="1:10" hidden="1" x14ac:dyDescent="0.3">
      <c r="A139" s="10">
        <v>46027</v>
      </c>
      <c r="B139" t="s">
        <v>19</v>
      </c>
      <c r="C139" t="str">
        <f t="shared" si="8"/>
        <v>342856178139</v>
      </c>
      <c r="D139" t="str">
        <f t="shared" si="9"/>
        <v>3798512613139</v>
      </c>
      <c r="E139" t="str">
        <f t="shared" si="10"/>
        <v>Client139</v>
      </c>
      <c r="F139" t="str">
        <f t="shared" si="11"/>
        <v>BOB139</v>
      </c>
      <c r="G139" t="s">
        <v>25</v>
      </c>
      <c r="H139" t="s">
        <v>21</v>
      </c>
      <c r="I139" s="11">
        <v>2000000</v>
      </c>
      <c r="J139" s="11">
        <v>9401000</v>
      </c>
    </row>
    <row r="140" spans="1:10" hidden="1" x14ac:dyDescent="0.3">
      <c r="A140" s="10">
        <v>46027</v>
      </c>
      <c r="B140" t="s">
        <v>19</v>
      </c>
      <c r="C140" t="str">
        <f t="shared" si="8"/>
        <v>342856178140</v>
      </c>
      <c r="D140" t="str">
        <f t="shared" si="9"/>
        <v>3798512613140</v>
      </c>
      <c r="E140" t="str">
        <f t="shared" si="10"/>
        <v>Client140</v>
      </c>
      <c r="F140" t="str">
        <f t="shared" si="11"/>
        <v>BOB140</v>
      </c>
      <c r="G140" t="s">
        <v>20</v>
      </c>
      <c r="H140" t="s">
        <v>21</v>
      </c>
      <c r="I140" s="11">
        <v>2000000</v>
      </c>
      <c r="J140" s="11">
        <v>1000000</v>
      </c>
    </row>
    <row r="141" spans="1:10" x14ac:dyDescent="0.3">
      <c r="A141" s="10">
        <v>46027</v>
      </c>
      <c r="B141" t="s">
        <v>19</v>
      </c>
      <c r="C141" t="str">
        <f t="shared" si="8"/>
        <v>342856178141</v>
      </c>
      <c r="D141" t="str">
        <f t="shared" si="9"/>
        <v>3798512613141</v>
      </c>
      <c r="E141" t="str">
        <f t="shared" si="10"/>
        <v>Client141</v>
      </c>
      <c r="F141" t="str">
        <f t="shared" si="11"/>
        <v>BOB141</v>
      </c>
      <c r="G141" t="s">
        <v>24</v>
      </c>
      <c r="H141" t="s">
        <v>21</v>
      </c>
      <c r="I141" s="11">
        <v>2000000</v>
      </c>
      <c r="J141" s="11">
        <v>1500000</v>
      </c>
    </row>
    <row r="142" spans="1:10" hidden="1" x14ac:dyDescent="0.3">
      <c r="A142" s="10">
        <v>46027</v>
      </c>
      <c r="B142" t="s">
        <v>19</v>
      </c>
      <c r="C142" t="str">
        <f t="shared" si="8"/>
        <v>342856178142</v>
      </c>
      <c r="D142" t="str">
        <f t="shared" si="9"/>
        <v>3798512613142</v>
      </c>
      <c r="E142" t="str">
        <f t="shared" si="10"/>
        <v>Client142</v>
      </c>
      <c r="F142" t="str">
        <f t="shared" si="11"/>
        <v>BOB142</v>
      </c>
      <c r="G142" t="s">
        <v>25</v>
      </c>
      <c r="H142" t="s">
        <v>21</v>
      </c>
      <c r="I142" s="11">
        <v>2000000</v>
      </c>
      <c r="J142" s="11">
        <v>1806100</v>
      </c>
    </row>
    <row r="143" spans="1:10" hidden="1" x14ac:dyDescent="0.3">
      <c r="A143" s="10">
        <v>46027</v>
      </c>
      <c r="B143" t="s">
        <v>19</v>
      </c>
      <c r="C143" t="str">
        <f t="shared" si="8"/>
        <v>342856178143</v>
      </c>
      <c r="D143" t="str">
        <f t="shared" si="9"/>
        <v>3798512613143</v>
      </c>
      <c r="E143" t="str">
        <f t="shared" si="10"/>
        <v>Client143</v>
      </c>
      <c r="F143" t="str">
        <f t="shared" si="11"/>
        <v>BOB143</v>
      </c>
      <c r="G143" t="s">
        <v>26</v>
      </c>
      <c r="H143" t="s">
        <v>21</v>
      </c>
      <c r="I143" s="11">
        <v>2000000</v>
      </c>
      <c r="J143" s="11">
        <v>6065000</v>
      </c>
    </row>
    <row r="144" spans="1:10" hidden="1" x14ac:dyDescent="0.3">
      <c r="A144" s="10">
        <v>46027</v>
      </c>
      <c r="B144" t="s">
        <v>19</v>
      </c>
      <c r="C144" t="str">
        <f t="shared" si="8"/>
        <v>342856178144</v>
      </c>
      <c r="D144" t="str">
        <f t="shared" si="9"/>
        <v>3798512613144</v>
      </c>
      <c r="E144" t="str">
        <f t="shared" si="10"/>
        <v>Client144</v>
      </c>
      <c r="F144" t="str">
        <f t="shared" si="11"/>
        <v>BOB144</v>
      </c>
      <c r="I144" s="11">
        <v>2000000</v>
      </c>
      <c r="J144" s="11">
        <v>0</v>
      </c>
    </row>
    <row r="145" spans="1:10" hidden="1" x14ac:dyDescent="0.3">
      <c r="A145" s="10">
        <v>46027</v>
      </c>
      <c r="B145" t="s">
        <v>19</v>
      </c>
      <c r="C145" t="str">
        <f t="shared" si="8"/>
        <v>342856178145</v>
      </c>
      <c r="D145" t="str">
        <f t="shared" si="9"/>
        <v>3798512613145</v>
      </c>
      <c r="E145" t="str">
        <f t="shared" si="10"/>
        <v>Client145</v>
      </c>
      <c r="F145" t="str">
        <f t="shared" si="11"/>
        <v>BOB145</v>
      </c>
      <c r="I145" s="11">
        <v>2000000</v>
      </c>
      <c r="J145" s="11">
        <v>0</v>
      </c>
    </row>
    <row r="146" spans="1:10" hidden="1" x14ac:dyDescent="0.3">
      <c r="A146" s="10">
        <v>46027</v>
      </c>
      <c r="B146" t="s">
        <v>19</v>
      </c>
      <c r="C146" t="str">
        <f t="shared" si="8"/>
        <v>342856178146</v>
      </c>
      <c r="D146" t="str">
        <f t="shared" si="9"/>
        <v>3798512613146</v>
      </c>
      <c r="E146" t="str">
        <f t="shared" si="10"/>
        <v>Client146</v>
      </c>
      <c r="F146" t="str">
        <f t="shared" si="11"/>
        <v>BOB146</v>
      </c>
      <c r="G146" t="s">
        <v>22</v>
      </c>
      <c r="H146" t="s">
        <v>23</v>
      </c>
      <c r="I146" s="11">
        <v>1998000</v>
      </c>
      <c r="J146" s="11">
        <v>2002000</v>
      </c>
    </row>
    <row r="147" spans="1:10" hidden="1" x14ac:dyDescent="0.3">
      <c r="A147" s="10">
        <v>46027</v>
      </c>
      <c r="B147" t="s">
        <v>19</v>
      </c>
      <c r="C147" t="str">
        <f t="shared" si="8"/>
        <v>342856178147</v>
      </c>
      <c r="D147" t="str">
        <f t="shared" si="9"/>
        <v>3798512613147</v>
      </c>
      <c r="E147" t="str">
        <f t="shared" si="10"/>
        <v>Client147</v>
      </c>
      <c r="F147" t="str">
        <f t="shared" si="11"/>
        <v>BOB147</v>
      </c>
      <c r="I147" s="11">
        <v>1900000</v>
      </c>
      <c r="J147" s="11">
        <v>1700000</v>
      </c>
    </row>
    <row r="148" spans="1:10" hidden="1" x14ac:dyDescent="0.3">
      <c r="A148" s="10">
        <v>46027</v>
      </c>
      <c r="B148" t="s">
        <v>19</v>
      </c>
      <c r="C148" t="str">
        <f t="shared" si="8"/>
        <v>342856178148</v>
      </c>
      <c r="D148" t="str">
        <f t="shared" si="9"/>
        <v>3798512613148</v>
      </c>
      <c r="E148" t="str">
        <f t="shared" si="10"/>
        <v>Client148</v>
      </c>
      <c r="F148" t="str">
        <f t="shared" si="11"/>
        <v>BOB148</v>
      </c>
      <c r="I148" s="11">
        <v>1900000</v>
      </c>
      <c r="J148" s="11">
        <v>1900000</v>
      </c>
    </row>
    <row r="149" spans="1:10" hidden="1" x14ac:dyDescent="0.3">
      <c r="A149" s="10">
        <v>46027</v>
      </c>
      <c r="B149" t="s">
        <v>19</v>
      </c>
      <c r="C149" t="str">
        <f t="shared" si="8"/>
        <v>342856178149</v>
      </c>
      <c r="D149" t="str">
        <f t="shared" si="9"/>
        <v>3798512613149</v>
      </c>
      <c r="E149" t="str">
        <f t="shared" si="10"/>
        <v>Client149</v>
      </c>
      <c r="F149" t="str">
        <f t="shared" si="11"/>
        <v>BOB149</v>
      </c>
      <c r="G149" t="s">
        <v>25</v>
      </c>
      <c r="H149" t="s">
        <v>21</v>
      </c>
      <c r="I149" s="11">
        <v>1866000</v>
      </c>
      <c r="J149" s="11">
        <v>800000</v>
      </c>
    </row>
    <row r="150" spans="1:10" hidden="1" x14ac:dyDescent="0.3">
      <c r="A150" s="10">
        <v>46027</v>
      </c>
      <c r="B150" t="s">
        <v>19</v>
      </c>
      <c r="C150" t="str">
        <f t="shared" si="8"/>
        <v>342856178150</v>
      </c>
      <c r="D150" t="str">
        <f t="shared" si="9"/>
        <v>3798512613150</v>
      </c>
      <c r="E150" t="str">
        <f t="shared" si="10"/>
        <v>Client150</v>
      </c>
      <c r="F150" t="str">
        <f t="shared" si="11"/>
        <v>BOB150</v>
      </c>
      <c r="G150" t="s">
        <v>22</v>
      </c>
      <c r="H150" t="s">
        <v>23</v>
      </c>
      <c r="I150" s="11">
        <v>1798200</v>
      </c>
      <c r="J150" s="11">
        <v>0</v>
      </c>
    </row>
    <row r="151" spans="1:10" hidden="1" x14ac:dyDescent="0.3">
      <c r="A151" s="10">
        <v>46027</v>
      </c>
      <c r="B151" t="s">
        <v>19</v>
      </c>
      <c r="C151" t="str">
        <f t="shared" si="8"/>
        <v>342856178151</v>
      </c>
      <c r="D151" t="str">
        <f t="shared" si="9"/>
        <v>3798512613151</v>
      </c>
      <c r="E151" t="str">
        <f t="shared" si="10"/>
        <v>Client151</v>
      </c>
      <c r="F151" t="str">
        <f t="shared" si="11"/>
        <v>BOB151</v>
      </c>
      <c r="G151" t="s">
        <v>20</v>
      </c>
      <c r="H151" t="s">
        <v>21</v>
      </c>
      <c r="I151" s="11">
        <v>1780000</v>
      </c>
      <c r="J151" s="11">
        <v>0</v>
      </c>
    </row>
    <row r="152" spans="1:10" hidden="1" x14ac:dyDescent="0.3">
      <c r="A152" s="10">
        <v>46027</v>
      </c>
      <c r="B152" t="s">
        <v>19</v>
      </c>
      <c r="C152" t="str">
        <f t="shared" si="8"/>
        <v>342856178152</v>
      </c>
      <c r="D152" t="str">
        <f t="shared" si="9"/>
        <v>3798512613152</v>
      </c>
      <c r="E152" t="str">
        <f t="shared" si="10"/>
        <v>Client152</v>
      </c>
      <c r="F152" t="str">
        <f t="shared" si="11"/>
        <v>BOB152</v>
      </c>
      <c r="G152" t="s">
        <v>20</v>
      </c>
      <c r="H152" t="s">
        <v>21</v>
      </c>
      <c r="I152" s="11">
        <v>1775000</v>
      </c>
      <c r="J152" s="11">
        <v>0</v>
      </c>
    </row>
    <row r="153" spans="1:10" hidden="1" x14ac:dyDescent="0.3">
      <c r="A153" s="10">
        <v>46027</v>
      </c>
      <c r="B153" t="s">
        <v>19</v>
      </c>
      <c r="C153" t="str">
        <f t="shared" si="8"/>
        <v>342856178153</v>
      </c>
      <c r="D153" t="str">
        <f t="shared" si="9"/>
        <v>3798512613153</v>
      </c>
      <c r="E153" t="str">
        <f t="shared" si="10"/>
        <v>Client153</v>
      </c>
      <c r="F153" t="str">
        <f t="shared" si="11"/>
        <v>BOB153</v>
      </c>
      <c r="G153" t="s">
        <v>25</v>
      </c>
      <c r="H153" t="s">
        <v>21</v>
      </c>
      <c r="I153" s="11">
        <v>1717000</v>
      </c>
      <c r="J153" s="11">
        <v>752000</v>
      </c>
    </row>
    <row r="154" spans="1:10" hidden="1" x14ac:dyDescent="0.3">
      <c r="A154" s="10">
        <v>46027</v>
      </c>
      <c r="B154" t="s">
        <v>19</v>
      </c>
      <c r="C154" t="str">
        <f t="shared" si="8"/>
        <v>342856178154</v>
      </c>
      <c r="D154" t="str">
        <f t="shared" si="9"/>
        <v>3798512613154</v>
      </c>
      <c r="E154" t="str">
        <f t="shared" si="10"/>
        <v>Client154</v>
      </c>
      <c r="F154" t="str">
        <f t="shared" si="11"/>
        <v>BOB154</v>
      </c>
      <c r="I154" s="11">
        <v>1700000</v>
      </c>
      <c r="J154" s="11">
        <v>1700000</v>
      </c>
    </row>
    <row r="155" spans="1:10" hidden="1" x14ac:dyDescent="0.3">
      <c r="A155" s="10">
        <v>46027</v>
      </c>
      <c r="B155" t="s">
        <v>19</v>
      </c>
      <c r="C155" t="str">
        <f t="shared" si="8"/>
        <v>342856178155</v>
      </c>
      <c r="D155" t="str">
        <f t="shared" si="9"/>
        <v>3798512613155</v>
      </c>
      <c r="E155" t="str">
        <f t="shared" si="10"/>
        <v>Client155</v>
      </c>
      <c r="F155" t="str">
        <f t="shared" si="11"/>
        <v>BOB155</v>
      </c>
      <c r="I155" s="11">
        <v>1700000</v>
      </c>
      <c r="J155" s="11">
        <v>1700000</v>
      </c>
    </row>
    <row r="156" spans="1:10" hidden="1" x14ac:dyDescent="0.3">
      <c r="A156" s="10">
        <v>46027</v>
      </c>
      <c r="B156" t="s">
        <v>19</v>
      </c>
      <c r="C156" t="str">
        <f t="shared" si="8"/>
        <v>342856178156</v>
      </c>
      <c r="D156" t="str">
        <f t="shared" si="9"/>
        <v>3798512613156</v>
      </c>
      <c r="E156" t="str">
        <f t="shared" si="10"/>
        <v>Client156</v>
      </c>
      <c r="F156" t="str">
        <f t="shared" si="11"/>
        <v>BOB156</v>
      </c>
      <c r="I156" s="11">
        <v>1700000</v>
      </c>
      <c r="J156" s="11">
        <v>1700000</v>
      </c>
    </row>
    <row r="157" spans="1:10" hidden="1" x14ac:dyDescent="0.3">
      <c r="A157" s="10">
        <v>46027</v>
      </c>
      <c r="B157" t="s">
        <v>19</v>
      </c>
      <c r="C157" t="str">
        <f t="shared" si="8"/>
        <v>342856178157</v>
      </c>
      <c r="D157" t="str">
        <f t="shared" si="9"/>
        <v>3798512613157</v>
      </c>
      <c r="E157" t="str">
        <f t="shared" si="10"/>
        <v>Client157</v>
      </c>
      <c r="F157" t="str">
        <f t="shared" si="11"/>
        <v>BOB157</v>
      </c>
      <c r="I157" s="11">
        <v>1700000</v>
      </c>
      <c r="J157" s="11">
        <v>1700000</v>
      </c>
    </row>
    <row r="158" spans="1:10" hidden="1" x14ac:dyDescent="0.3">
      <c r="A158" s="10">
        <v>46027</v>
      </c>
      <c r="B158" t="s">
        <v>19</v>
      </c>
      <c r="C158" t="str">
        <f t="shared" si="8"/>
        <v>342856178158</v>
      </c>
      <c r="D158" t="str">
        <f t="shared" si="9"/>
        <v>3798512613158</v>
      </c>
      <c r="E158" t="str">
        <f t="shared" si="10"/>
        <v>Client158</v>
      </c>
      <c r="F158" t="str">
        <f t="shared" si="11"/>
        <v>BOB158</v>
      </c>
      <c r="I158" s="11">
        <v>1700000</v>
      </c>
      <c r="J158" s="11">
        <v>1700000</v>
      </c>
    </row>
    <row r="159" spans="1:10" hidden="1" x14ac:dyDescent="0.3">
      <c r="A159" s="10">
        <v>46027</v>
      </c>
      <c r="B159" t="s">
        <v>19</v>
      </c>
      <c r="C159" t="str">
        <f t="shared" si="8"/>
        <v>342856178159</v>
      </c>
      <c r="D159" t="str">
        <f t="shared" si="9"/>
        <v>3798512613159</v>
      </c>
      <c r="E159" t="str">
        <f t="shared" si="10"/>
        <v>Client159</v>
      </c>
      <c r="F159" t="str">
        <f t="shared" si="11"/>
        <v>BOB159</v>
      </c>
      <c r="I159" s="11">
        <v>1700000</v>
      </c>
      <c r="J159" s="11">
        <v>0</v>
      </c>
    </row>
    <row r="160" spans="1:10" hidden="1" x14ac:dyDescent="0.3">
      <c r="A160" s="10">
        <v>46027</v>
      </c>
      <c r="B160" t="s">
        <v>19</v>
      </c>
      <c r="C160" t="str">
        <f t="shared" si="8"/>
        <v>342856178160</v>
      </c>
      <c r="D160" t="str">
        <f t="shared" si="9"/>
        <v>3798512613160</v>
      </c>
      <c r="E160" t="str">
        <f t="shared" si="10"/>
        <v>Client160</v>
      </c>
      <c r="F160" t="str">
        <f t="shared" si="11"/>
        <v>BOB160</v>
      </c>
      <c r="G160" t="s">
        <v>22</v>
      </c>
      <c r="H160" t="s">
        <v>23</v>
      </c>
      <c r="I160" s="11">
        <v>1602700</v>
      </c>
      <c r="J160" s="11">
        <v>0</v>
      </c>
    </row>
    <row r="161" spans="1:10" hidden="1" x14ac:dyDescent="0.3">
      <c r="A161" s="10">
        <v>46027</v>
      </c>
      <c r="B161" t="s">
        <v>19</v>
      </c>
      <c r="C161" t="str">
        <f t="shared" si="8"/>
        <v>342856178161</v>
      </c>
      <c r="D161" t="str">
        <f t="shared" si="9"/>
        <v>3798512613161</v>
      </c>
      <c r="E161" t="str">
        <f t="shared" si="10"/>
        <v>Client161</v>
      </c>
      <c r="F161" t="str">
        <f t="shared" si="11"/>
        <v>BOB161</v>
      </c>
      <c r="G161" t="s">
        <v>25</v>
      </c>
      <c r="H161" t="s">
        <v>21</v>
      </c>
      <c r="I161" s="11">
        <v>1600000</v>
      </c>
      <c r="J161" s="11">
        <v>3600000</v>
      </c>
    </row>
    <row r="162" spans="1:10" x14ac:dyDescent="0.3">
      <c r="A162" s="10">
        <v>46027</v>
      </c>
      <c r="B162" t="s">
        <v>19</v>
      </c>
      <c r="C162" t="str">
        <f t="shared" si="8"/>
        <v>342856178162</v>
      </c>
      <c r="D162" t="str">
        <f t="shared" si="9"/>
        <v>3798512613162</v>
      </c>
      <c r="E162" t="str">
        <f t="shared" si="10"/>
        <v>Client162</v>
      </c>
      <c r="F162" t="str">
        <f t="shared" si="11"/>
        <v>BOB162</v>
      </c>
      <c r="G162" t="s">
        <v>24</v>
      </c>
      <c r="H162" t="s">
        <v>21</v>
      </c>
      <c r="I162" s="11">
        <v>1600000</v>
      </c>
      <c r="J162" s="11">
        <v>1800000</v>
      </c>
    </row>
    <row r="163" spans="1:10" hidden="1" x14ac:dyDescent="0.3">
      <c r="A163" s="10">
        <v>46027</v>
      </c>
      <c r="B163" t="s">
        <v>19</v>
      </c>
      <c r="C163" t="str">
        <f t="shared" si="8"/>
        <v>342856178163</v>
      </c>
      <c r="D163" t="str">
        <f t="shared" si="9"/>
        <v>3798512613163</v>
      </c>
      <c r="E163" t="str">
        <f t="shared" si="10"/>
        <v>Client163</v>
      </c>
      <c r="F163" t="str">
        <f t="shared" si="11"/>
        <v>BOB163</v>
      </c>
      <c r="G163" t="s">
        <v>20</v>
      </c>
      <c r="H163" t="s">
        <v>21</v>
      </c>
      <c r="I163" s="11">
        <v>1500000</v>
      </c>
      <c r="J163" s="11">
        <v>345000</v>
      </c>
    </row>
    <row r="164" spans="1:10" hidden="1" x14ac:dyDescent="0.3">
      <c r="A164" s="10">
        <v>46027</v>
      </c>
      <c r="B164" t="s">
        <v>19</v>
      </c>
      <c r="C164" t="str">
        <f t="shared" si="8"/>
        <v>342856178164</v>
      </c>
      <c r="D164" t="str">
        <f t="shared" si="9"/>
        <v>3798512613164</v>
      </c>
      <c r="E164" t="str">
        <f t="shared" si="10"/>
        <v>Client164</v>
      </c>
      <c r="F164" t="str">
        <f t="shared" si="11"/>
        <v>BOB164</v>
      </c>
      <c r="G164" t="s">
        <v>25</v>
      </c>
      <c r="H164" t="s">
        <v>21</v>
      </c>
      <c r="I164" s="11">
        <v>1500000</v>
      </c>
      <c r="J164" s="11">
        <v>4004000</v>
      </c>
    </row>
    <row r="165" spans="1:10" hidden="1" x14ac:dyDescent="0.3">
      <c r="A165" s="10">
        <v>46027</v>
      </c>
      <c r="B165" t="s">
        <v>19</v>
      </c>
      <c r="C165" t="str">
        <f t="shared" si="8"/>
        <v>342856178165</v>
      </c>
      <c r="D165" t="str">
        <f t="shared" si="9"/>
        <v>3798512613165</v>
      </c>
      <c r="E165" t="str">
        <f t="shared" si="10"/>
        <v>Client165</v>
      </c>
      <c r="F165" t="str">
        <f t="shared" si="11"/>
        <v>BOB165</v>
      </c>
      <c r="G165" t="s">
        <v>25</v>
      </c>
      <c r="H165" t="s">
        <v>21</v>
      </c>
      <c r="I165" s="11">
        <v>1500000</v>
      </c>
      <c r="J165" s="11">
        <v>0</v>
      </c>
    </row>
    <row r="166" spans="1:10" hidden="1" x14ac:dyDescent="0.3">
      <c r="A166" s="10">
        <v>46027</v>
      </c>
      <c r="B166" t="s">
        <v>19</v>
      </c>
      <c r="C166" t="str">
        <f t="shared" si="8"/>
        <v>342856178166</v>
      </c>
      <c r="D166" t="str">
        <f t="shared" si="9"/>
        <v>3798512613166</v>
      </c>
      <c r="E166" t="str">
        <f t="shared" si="10"/>
        <v>Client166</v>
      </c>
      <c r="F166" t="str">
        <f t="shared" si="11"/>
        <v>BOB166</v>
      </c>
      <c r="I166" s="11">
        <v>1500000</v>
      </c>
      <c r="J166" s="11">
        <v>1100000</v>
      </c>
    </row>
    <row r="167" spans="1:10" hidden="1" x14ac:dyDescent="0.3">
      <c r="A167" s="10">
        <v>46027</v>
      </c>
      <c r="B167" t="s">
        <v>19</v>
      </c>
      <c r="C167" t="str">
        <f t="shared" si="8"/>
        <v>342856178167</v>
      </c>
      <c r="D167" t="str">
        <f t="shared" si="9"/>
        <v>3798512613167</v>
      </c>
      <c r="E167" t="str">
        <f t="shared" si="10"/>
        <v>Client167</v>
      </c>
      <c r="F167" t="str">
        <f t="shared" si="11"/>
        <v>BOB167</v>
      </c>
      <c r="G167" t="s">
        <v>25</v>
      </c>
      <c r="H167" t="s">
        <v>21</v>
      </c>
      <c r="I167" s="11">
        <v>1310000</v>
      </c>
      <c r="J167" s="11">
        <v>1110000</v>
      </c>
    </row>
    <row r="168" spans="1:10" hidden="1" x14ac:dyDescent="0.3">
      <c r="A168" s="10">
        <v>46027</v>
      </c>
      <c r="B168" t="s">
        <v>19</v>
      </c>
      <c r="C168" t="str">
        <f t="shared" si="8"/>
        <v>342856178168</v>
      </c>
      <c r="D168" t="str">
        <f t="shared" si="9"/>
        <v>3798512613168</v>
      </c>
      <c r="E168" t="str">
        <f t="shared" si="10"/>
        <v>Client168</v>
      </c>
      <c r="F168" t="str">
        <f t="shared" si="11"/>
        <v>BOB168</v>
      </c>
      <c r="G168" t="s">
        <v>20</v>
      </c>
      <c r="H168" t="s">
        <v>21</v>
      </c>
      <c r="I168" s="11">
        <v>1300000</v>
      </c>
      <c r="J168" s="11">
        <v>0</v>
      </c>
    </row>
    <row r="169" spans="1:10" hidden="1" x14ac:dyDescent="0.3">
      <c r="A169" s="10">
        <v>46027</v>
      </c>
      <c r="B169" t="s">
        <v>19</v>
      </c>
      <c r="C169" t="str">
        <f t="shared" si="8"/>
        <v>342856178169</v>
      </c>
      <c r="D169" t="str">
        <f t="shared" si="9"/>
        <v>3798512613169</v>
      </c>
      <c r="E169" t="str">
        <f t="shared" si="10"/>
        <v>Client169</v>
      </c>
      <c r="F169" t="str">
        <f t="shared" si="11"/>
        <v>BOB169</v>
      </c>
      <c r="I169" s="11">
        <v>1200000</v>
      </c>
      <c r="J169" s="11">
        <v>1200000</v>
      </c>
    </row>
    <row r="170" spans="1:10" hidden="1" x14ac:dyDescent="0.3">
      <c r="A170" s="10">
        <v>46027</v>
      </c>
      <c r="B170" t="s">
        <v>19</v>
      </c>
      <c r="C170" t="str">
        <f t="shared" si="8"/>
        <v>342856178170</v>
      </c>
      <c r="D170" t="str">
        <f t="shared" si="9"/>
        <v>3798512613170</v>
      </c>
      <c r="E170" t="str">
        <f t="shared" si="10"/>
        <v>Client170</v>
      </c>
      <c r="F170" t="str">
        <f t="shared" si="11"/>
        <v>BOB170</v>
      </c>
      <c r="I170" s="11">
        <v>1200000</v>
      </c>
      <c r="J170" s="11">
        <v>1200000</v>
      </c>
    </row>
    <row r="171" spans="1:10" hidden="1" x14ac:dyDescent="0.3">
      <c r="A171" s="10">
        <v>46027</v>
      </c>
      <c r="B171" t="s">
        <v>19</v>
      </c>
      <c r="C171" t="str">
        <f t="shared" si="8"/>
        <v>342856178171</v>
      </c>
      <c r="D171" t="str">
        <f t="shared" si="9"/>
        <v>3798512613171</v>
      </c>
      <c r="E171" t="str">
        <f t="shared" si="10"/>
        <v>Client171</v>
      </c>
      <c r="F171" t="str">
        <f t="shared" si="11"/>
        <v>BOB171</v>
      </c>
      <c r="I171" s="11">
        <v>1200000</v>
      </c>
      <c r="J171" s="11">
        <v>1900000</v>
      </c>
    </row>
    <row r="172" spans="1:10" hidden="1" x14ac:dyDescent="0.3">
      <c r="A172" s="10">
        <v>46027</v>
      </c>
      <c r="B172" t="s">
        <v>19</v>
      </c>
      <c r="C172" t="str">
        <f t="shared" si="8"/>
        <v>342856178172</v>
      </c>
      <c r="D172" t="str">
        <f t="shared" si="9"/>
        <v>3798512613172</v>
      </c>
      <c r="E172" t="str">
        <f t="shared" si="10"/>
        <v>Client172</v>
      </c>
      <c r="F172" t="str">
        <f t="shared" si="11"/>
        <v>BOB172</v>
      </c>
      <c r="I172" s="11">
        <v>1200000</v>
      </c>
      <c r="J172" s="11">
        <v>1200000</v>
      </c>
    </row>
    <row r="173" spans="1:10" hidden="1" x14ac:dyDescent="0.3">
      <c r="A173" s="10">
        <v>46027</v>
      </c>
      <c r="B173" t="s">
        <v>19</v>
      </c>
      <c r="C173" t="str">
        <f t="shared" si="8"/>
        <v>342856178173</v>
      </c>
      <c r="D173" t="str">
        <f t="shared" si="9"/>
        <v>3798512613173</v>
      </c>
      <c r="E173" t="str">
        <f t="shared" si="10"/>
        <v>Client173</v>
      </c>
      <c r="F173" t="str">
        <f t="shared" si="11"/>
        <v>BOB173</v>
      </c>
      <c r="G173" t="s">
        <v>25</v>
      </c>
      <c r="H173" t="s">
        <v>21</v>
      </c>
      <c r="I173" s="11">
        <v>1178000</v>
      </c>
      <c r="J173" s="11">
        <v>10388800</v>
      </c>
    </row>
    <row r="174" spans="1:10" hidden="1" x14ac:dyDescent="0.3">
      <c r="A174" s="10">
        <v>46027</v>
      </c>
      <c r="B174" t="s">
        <v>19</v>
      </c>
      <c r="C174" t="str">
        <f t="shared" si="8"/>
        <v>342856178174</v>
      </c>
      <c r="D174" t="str">
        <f t="shared" si="9"/>
        <v>3798512613174</v>
      </c>
      <c r="E174" t="str">
        <f t="shared" si="10"/>
        <v>Client174</v>
      </c>
      <c r="F174" t="str">
        <f t="shared" si="11"/>
        <v>BOB174</v>
      </c>
      <c r="G174" t="s">
        <v>25</v>
      </c>
      <c r="H174" t="s">
        <v>21</v>
      </c>
      <c r="I174" s="11">
        <v>1100000</v>
      </c>
      <c r="J174" s="11">
        <v>6590000</v>
      </c>
    </row>
    <row r="175" spans="1:10" x14ac:dyDescent="0.3">
      <c r="A175" s="10">
        <v>46027</v>
      </c>
      <c r="B175" t="s">
        <v>19</v>
      </c>
      <c r="C175" t="str">
        <f t="shared" si="8"/>
        <v>342856178175</v>
      </c>
      <c r="D175" t="str">
        <f t="shared" si="9"/>
        <v>3798512613175</v>
      </c>
      <c r="E175" t="str">
        <f t="shared" si="10"/>
        <v>Client175</v>
      </c>
      <c r="F175" t="str">
        <f t="shared" si="11"/>
        <v>BOB175</v>
      </c>
      <c r="G175" t="s">
        <v>24</v>
      </c>
      <c r="H175" t="s">
        <v>21</v>
      </c>
      <c r="I175" s="11">
        <v>1100000</v>
      </c>
      <c r="J175" s="11">
        <v>0</v>
      </c>
    </row>
    <row r="176" spans="1:10" hidden="1" x14ac:dyDescent="0.3">
      <c r="A176" s="10">
        <v>46027</v>
      </c>
      <c r="B176" t="s">
        <v>19</v>
      </c>
      <c r="C176" t="str">
        <f t="shared" si="8"/>
        <v>342856178176</v>
      </c>
      <c r="D176" t="str">
        <f t="shared" si="9"/>
        <v>3798512613176</v>
      </c>
      <c r="E176" t="str">
        <f t="shared" si="10"/>
        <v>Client176</v>
      </c>
      <c r="F176" t="str">
        <f t="shared" si="11"/>
        <v>BOB176</v>
      </c>
      <c r="G176" t="s">
        <v>25</v>
      </c>
      <c r="H176" t="s">
        <v>21</v>
      </c>
      <c r="I176" s="11">
        <v>1007700</v>
      </c>
      <c r="J176" s="11">
        <v>0</v>
      </c>
    </row>
    <row r="177" spans="1:10" hidden="1" x14ac:dyDescent="0.3">
      <c r="A177" s="10">
        <v>46027</v>
      </c>
      <c r="B177" t="s">
        <v>19</v>
      </c>
      <c r="C177" t="str">
        <f t="shared" si="8"/>
        <v>342856178177</v>
      </c>
      <c r="D177" t="str">
        <f t="shared" si="9"/>
        <v>3798512613177</v>
      </c>
      <c r="E177" t="str">
        <f t="shared" si="10"/>
        <v>Client177</v>
      </c>
      <c r="F177" t="str">
        <f t="shared" si="11"/>
        <v>BOB177</v>
      </c>
      <c r="G177" t="s">
        <v>25</v>
      </c>
      <c r="H177" t="s">
        <v>21</v>
      </c>
      <c r="I177" s="11">
        <v>1000000</v>
      </c>
      <c r="J177" s="11">
        <v>3100000</v>
      </c>
    </row>
    <row r="178" spans="1:10" hidden="1" x14ac:dyDescent="0.3">
      <c r="A178" s="10">
        <v>46027</v>
      </c>
      <c r="B178" t="s">
        <v>19</v>
      </c>
      <c r="C178" t="str">
        <f t="shared" si="8"/>
        <v>342856178178</v>
      </c>
      <c r="D178" t="str">
        <f t="shared" si="9"/>
        <v>3798512613178</v>
      </c>
      <c r="E178" t="str">
        <f t="shared" si="10"/>
        <v>Client178</v>
      </c>
      <c r="F178" t="str">
        <f t="shared" si="11"/>
        <v>BOB178</v>
      </c>
      <c r="I178" s="11">
        <v>1000000</v>
      </c>
      <c r="J178" s="11">
        <v>1000000</v>
      </c>
    </row>
    <row r="179" spans="1:10" hidden="1" x14ac:dyDescent="0.3">
      <c r="A179" s="10">
        <v>46027</v>
      </c>
      <c r="B179" t="s">
        <v>19</v>
      </c>
      <c r="C179" t="str">
        <f t="shared" si="8"/>
        <v>342856178179</v>
      </c>
      <c r="D179" t="str">
        <f t="shared" si="9"/>
        <v>3798512613179</v>
      </c>
      <c r="E179" t="str">
        <f t="shared" si="10"/>
        <v>Client179</v>
      </c>
      <c r="F179" t="str">
        <f t="shared" si="11"/>
        <v>BOB179</v>
      </c>
      <c r="I179" s="11">
        <v>1000000</v>
      </c>
      <c r="J179" s="11">
        <v>0</v>
      </c>
    </row>
    <row r="180" spans="1:10" hidden="1" x14ac:dyDescent="0.3">
      <c r="A180" s="10">
        <v>46027</v>
      </c>
      <c r="B180" t="s">
        <v>19</v>
      </c>
      <c r="C180" t="str">
        <f t="shared" si="8"/>
        <v>342856178180</v>
      </c>
      <c r="D180" t="str">
        <f t="shared" si="9"/>
        <v>3798512613180</v>
      </c>
      <c r="E180" t="str">
        <f t="shared" si="10"/>
        <v>Client180</v>
      </c>
      <c r="F180" t="str">
        <f t="shared" si="11"/>
        <v>BOB180</v>
      </c>
      <c r="I180" s="11">
        <v>1000000</v>
      </c>
      <c r="J180" s="11">
        <v>1600000</v>
      </c>
    </row>
    <row r="181" spans="1:10" hidden="1" x14ac:dyDescent="0.3">
      <c r="A181" s="10">
        <v>46027</v>
      </c>
      <c r="B181" t="s">
        <v>19</v>
      </c>
      <c r="C181" t="str">
        <f t="shared" si="8"/>
        <v>342856178181</v>
      </c>
      <c r="D181" t="str">
        <f t="shared" si="9"/>
        <v>3798512613181</v>
      </c>
      <c r="E181" t="str">
        <f t="shared" si="10"/>
        <v>Client181</v>
      </c>
      <c r="F181" t="str">
        <f t="shared" si="11"/>
        <v>BOB181</v>
      </c>
      <c r="I181" s="11">
        <v>1000000</v>
      </c>
      <c r="J181" s="11">
        <v>1000000</v>
      </c>
    </row>
    <row r="182" spans="1:10" x14ac:dyDescent="0.3">
      <c r="A182" s="10">
        <v>46027</v>
      </c>
      <c r="B182" t="s">
        <v>19</v>
      </c>
      <c r="C182" t="str">
        <f t="shared" si="8"/>
        <v>342856178182</v>
      </c>
      <c r="D182" t="str">
        <f t="shared" si="9"/>
        <v>3798512613182</v>
      </c>
      <c r="E182" t="str">
        <f t="shared" si="10"/>
        <v>Client182</v>
      </c>
      <c r="F182" t="str">
        <f t="shared" si="11"/>
        <v>BOB182</v>
      </c>
      <c r="G182" t="s">
        <v>24</v>
      </c>
      <c r="H182" t="s">
        <v>21</v>
      </c>
      <c r="I182" s="11">
        <v>1000000</v>
      </c>
      <c r="J182" s="11">
        <v>8000000</v>
      </c>
    </row>
    <row r="183" spans="1:10" x14ac:dyDescent="0.3">
      <c r="A183" s="10">
        <v>46027</v>
      </c>
      <c r="B183" t="s">
        <v>19</v>
      </c>
      <c r="C183" t="str">
        <f t="shared" si="8"/>
        <v>342856178183</v>
      </c>
      <c r="D183" t="str">
        <f t="shared" si="9"/>
        <v>3798512613183</v>
      </c>
      <c r="E183" t="str">
        <f t="shared" si="10"/>
        <v>Client183</v>
      </c>
      <c r="F183" t="str">
        <f t="shared" si="11"/>
        <v>BOB183</v>
      </c>
      <c r="G183" t="s">
        <v>24</v>
      </c>
      <c r="H183" t="s">
        <v>21</v>
      </c>
      <c r="I183" s="11">
        <v>1000000</v>
      </c>
      <c r="J183" s="11">
        <v>0</v>
      </c>
    </row>
    <row r="184" spans="1:10" hidden="1" x14ac:dyDescent="0.3">
      <c r="A184" s="10">
        <v>46027</v>
      </c>
      <c r="B184" t="s">
        <v>19</v>
      </c>
      <c r="C184" t="str">
        <f t="shared" si="8"/>
        <v>342856178184</v>
      </c>
      <c r="D184" t="str">
        <f t="shared" si="9"/>
        <v>3798512613184</v>
      </c>
      <c r="E184" t="str">
        <f t="shared" si="10"/>
        <v>Client184</v>
      </c>
      <c r="F184" t="str">
        <f t="shared" si="11"/>
        <v>BOB184</v>
      </c>
      <c r="G184" t="s">
        <v>26</v>
      </c>
      <c r="H184" t="s">
        <v>21</v>
      </c>
      <c r="I184" s="11">
        <v>1000000</v>
      </c>
      <c r="J184" s="11">
        <v>0</v>
      </c>
    </row>
    <row r="185" spans="1:10" hidden="1" x14ac:dyDescent="0.3">
      <c r="A185" s="10">
        <v>46027</v>
      </c>
      <c r="B185" t="s">
        <v>19</v>
      </c>
      <c r="C185" t="str">
        <f t="shared" si="8"/>
        <v>342856178185</v>
      </c>
      <c r="D185" t="str">
        <f t="shared" si="9"/>
        <v>3798512613185</v>
      </c>
      <c r="E185" t="str">
        <f t="shared" si="10"/>
        <v>Client185</v>
      </c>
      <c r="F185" t="str">
        <f t="shared" si="11"/>
        <v>BOB185</v>
      </c>
      <c r="G185" t="s">
        <v>26</v>
      </c>
      <c r="H185" t="s">
        <v>21</v>
      </c>
      <c r="I185" s="11">
        <v>1000000</v>
      </c>
      <c r="J185" s="11">
        <v>3000000</v>
      </c>
    </row>
    <row r="186" spans="1:10" hidden="1" x14ac:dyDescent="0.3">
      <c r="A186" s="10">
        <v>46027</v>
      </c>
      <c r="B186" t="s">
        <v>19</v>
      </c>
      <c r="C186" t="str">
        <f t="shared" si="8"/>
        <v>342856178186</v>
      </c>
      <c r="D186" t="str">
        <f t="shared" si="9"/>
        <v>3798512613186</v>
      </c>
      <c r="E186" t="str">
        <f t="shared" si="10"/>
        <v>Client186</v>
      </c>
      <c r="F186" t="str">
        <f t="shared" si="11"/>
        <v>BOB186</v>
      </c>
      <c r="G186" t="s">
        <v>20</v>
      </c>
      <c r="H186" t="s">
        <v>21</v>
      </c>
      <c r="I186" s="11">
        <v>1000000</v>
      </c>
      <c r="J186" s="11">
        <v>0</v>
      </c>
    </row>
    <row r="187" spans="1:10" hidden="1" x14ac:dyDescent="0.3">
      <c r="A187" s="10">
        <v>46027</v>
      </c>
      <c r="B187" t="s">
        <v>19</v>
      </c>
      <c r="C187" t="str">
        <f t="shared" si="8"/>
        <v>342856178187</v>
      </c>
      <c r="D187" t="str">
        <f t="shared" si="9"/>
        <v>3798512613187</v>
      </c>
      <c r="E187" t="str">
        <f t="shared" si="10"/>
        <v>Client187</v>
      </c>
      <c r="F187" t="str">
        <f t="shared" si="11"/>
        <v>BOB187</v>
      </c>
      <c r="G187" t="s">
        <v>22</v>
      </c>
      <c r="H187" t="s">
        <v>23</v>
      </c>
      <c r="I187" s="11">
        <v>1000000</v>
      </c>
      <c r="J187" s="11">
        <v>0</v>
      </c>
    </row>
    <row r="188" spans="1:10" hidden="1" x14ac:dyDescent="0.3">
      <c r="A188" s="10">
        <v>46027</v>
      </c>
      <c r="B188" t="s">
        <v>19</v>
      </c>
      <c r="C188" t="str">
        <f t="shared" si="8"/>
        <v>342856178188</v>
      </c>
      <c r="D188" t="str">
        <f t="shared" si="9"/>
        <v>3798512613188</v>
      </c>
      <c r="E188" t="str">
        <f t="shared" si="10"/>
        <v>Client188</v>
      </c>
      <c r="F188" t="str">
        <f t="shared" si="11"/>
        <v>BOB188</v>
      </c>
      <c r="G188" t="s">
        <v>22</v>
      </c>
      <c r="H188" t="s">
        <v>23</v>
      </c>
      <c r="I188" s="11">
        <v>1000000</v>
      </c>
      <c r="J188" s="11">
        <v>1001000</v>
      </c>
    </row>
    <row r="189" spans="1:10" hidden="1" x14ac:dyDescent="0.3">
      <c r="A189" s="10">
        <v>46027</v>
      </c>
      <c r="B189" t="s">
        <v>19</v>
      </c>
      <c r="C189" t="str">
        <f t="shared" si="8"/>
        <v>342856178189</v>
      </c>
      <c r="D189" t="str">
        <f t="shared" si="9"/>
        <v>3798512613189</v>
      </c>
      <c r="E189" t="str">
        <f t="shared" si="10"/>
        <v>Client189</v>
      </c>
      <c r="F189" t="str">
        <f t="shared" si="11"/>
        <v>BOB189</v>
      </c>
      <c r="G189" t="s">
        <v>22</v>
      </c>
      <c r="H189" t="s">
        <v>23</v>
      </c>
      <c r="I189" s="11">
        <v>1000000</v>
      </c>
      <c r="J189" s="11">
        <v>500000</v>
      </c>
    </row>
    <row r="190" spans="1:10" hidden="1" x14ac:dyDescent="0.3">
      <c r="A190" s="10">
        <v>46027</v>
      </c>
      <c r="B190" t="s">
        <v>19</v>
      </c>
      <c r="C190" t="str">
        <f t="shared" si="8"/>
        <v>342856178190</v>
      </c>
      <c r="D190" t="str">
        <f t="shared" si="9"/>
        <v>3798512613190</v>
      </c>
      <c r="E190" t="str">
        <f t="shared" si="10"/>
        <v>Client190</v>
      </c>
      <c r="F190" t="str">
        <f t="shared" si="11"/>
        <v>BOB190</v>
      </c>
      <c r="G190" t="s">
        <v>20</v>
      </c>
      <c r="H190" t="s">
        <v>21</v>
      </c>
      <c r="I190" s="11">
        <v>1000000</v>
      </c>
      <c r="J190" s="11">
        <v>3205000</v>
      </c>
    </row>
    <row r="191" spans="1:10" hidden="1" x14ac:dyDescent="0.3">
      <c r="A191" s="10">
        <v>46027</v>
      </c>
      <c r="B191" t="s">
        <v>19</v>
      </c>
      <c r="C191" t="str">
        <f t="shared" si="8"/>
        <v>342856178191</v>
      </c>
      <c r="D191" t="str">
        <f t="shared" si="9"/>
        <v>3798512613191</v>
      </c>
      <c r="E191" t="str">
        <f t="shared" si="10"/>
        <v>Client191</v>
      </c>
      <c r="F191" t="str">
        <f t="shared" si="11"/>
        <v>BOB191</v>
      </c>
      <c r="G191" t="s">
        <v>22</v>
      </c>
      <c r="H191" t="s">
        <v>23</v>
      </c>
      <c r="I191" s="11">
        <v>899100</v>
      </c>
      <c r="J191" s="11">
        <v>1278000</v>
      </c>
    </row>
    <row r="192" spans="1:10" hidden="1" x14ac:dyDescent="0.3">
      <c r="A192" s="10">
        <v>46027</v>
      </c>
      <c r="B192" t="s">
        <v>19</v>
      </c>
      <c r="C192" t="str">
        <f t="shared" si="8"/>
        <v>342856178192</v>
      </c>
      <c r="D192" t="str">
        <f t="shared" si="9"/>
        <v>3798512613192</v>
      </c>
      <c r="E192" t="str">
        <f t="shared" si="10"/>
        <v>Client192</v>
      </c>
      <c r="F192" t="str">
        <f t="shared" si="11"/>
        <v>BOB192</v>
      </c>
      <c r="G192" t="s">
        <v>25</v>
      </c>
      <c r="H192" t="s">
        <v>21</v>
      </c>
      <c r="I192" s="11">
        <v>800000</v>
      </c>
      <c r="J192" s="11">
        <v>5980000</v>
      </c>
    </row>
    <row r="193" spans="1:10" hidden="1" x14ac:dyDescent="0.3">
      <c r="A193" s="10">
        <v>46027</v>
      </c>
      <c r="B193" t="s">
        <v>19</v>
      </c>
      <c r="C193" t="str">
        <f t="shared" si="8"/>
        <v>342856178193</v>
      </c>
      <c r="D193" t="str">
        <f t="shared" si="9"/>
        <v>3798512613193</v>
      </c>
      <c r="E193" t="str">
        <f t="shared" si="10"/>
        <v>Client193</v>
      </c>
      <c r="F193" t="str">
        <f t="shared" si="11"/>
        <v>BOB193</v>
      </c>
      <c r="G193" t="s">
        <v>25</v>
      </c>
      <c r="H193" t="s">
        <v>21</v>
      </c>
      <c r="I193" s="11">
        <v>800000</v>
      </c>
      <c r="J193" s="11">
        <v>0</v>
      </c>
    </row>
    <row r="194" spans="1:10" hidden="1" x14ac:dyDescent="0.3">
      <c r="A194" s="10">
        <v>46027</v>
      </c>
      <c r="B194" t="s">
        <v>19</v>
      </c>
      <c r="C194" t="str">
        <f t="shared" ref="C194:C257" si="12" xml:space="preserve"> "342856178" &amp; ROW()</f>
        <v>342856178194</v>
      </c>
      <c r="D194" t="str">
        <f t="shared" ref="D194:D257" si="13" xml:space="preserve"> "3798512613" &amp; ROW()</f>
        <v>3798512613194</v>
      </c>
      <c r="E194" t="str">
        <f t="shared" ref="E194:E257" si="14">"Client"&amp;ROW()</f>
        <v>Client194</v>
      </c>
      <c r="F194" t="str">
        <f t="shared" ref="F194:F257" si="15">"BOB"&amp;ROW()</f>
        <v>BOB194</v>
      </c>
      <c r="G194" t="s">
        <v>25</v>
      </c>
      <c r="H194" t="s">
        <v>21</v>
      </c>
      <c r="I194" s="11">
        <v>800000</v>
      </c>
      <c r="J194" s="11">
        <v>2900000</v>
      </c>
    </row>
    <row r="195" spans="1:10" hidden="1" x14ac:dyDescent="0.3">
      <c r="A195" s="10">
        <v>46027</v>
      </c>
      <c r="B195" t="s">
        <v>19</v>
      </c>
      <c r="C195" t="str">
        <f t="shared" si="12"/>
        <v>342856178195</v>
      </c>
      <c r="D195" t="str">
        <f t="shared" si="13"/>
        <v>3798512613195</v>
      </c>
      <c r="E195" t="str">
        <f t="shared" si="14"/>
        <v>Client195</v>
      </c>
      <c r="F195" t="str">
        <f t="shared" si="15"/>
        <v>BOB195</v>
      </c>
      <c r="G195" t="s">
        <v>20</v>
      </c>
      <c r="H195" t="s">
        <v>21</v>
      </c>
      <c r="I195" s="11">
        <v>700000</v>
      </c>
      <c r="J195" s="11">
        <v>0</v>
      </c>
    </row>
    <row r="196" spans="1:10" x14ac:dyDescent="0.3">
      <c r="A196" s="10">
        <v>46027</v>
      </c>
      <c r="B196" t="s">
        <v>19</v>
      </c>
      <c r="C196" t="str">
        <f t="shared" si="12"/>
        <v>342856178196</v>
      </c>
      <c r="D196" t="str">
        <f t="shared" si="13"/>
        <v>3798512613196</v>
      </c>
      <c r="E196" t="str">
        <f t="shared" si="14"/>
        <v>Client196</v>
      </c>
      <c r="F196" t="str">
        <f t="shared" si="15"/>
        <v>BOB196</v>
      </c>
      <c r="G196" t="s">
        <v>24</v>
      </c>
      <c r="H196" t="s">
        <v>21</v>
      </c>
      <c r="I196" s="11">
        <v>700000</v>
      </c>
      <c r="J196" s="11">
        <v>1200000</v>
      </c>
    </row>
    <row r="197" spans="1:10" hidden="1" x14ac:dyDescent="0.3">
      <c r="A197" s="10">
        <v>46027</v>
      </c>
      <c r="B197" t="s">
        <v>19</v>
      </c>
      <c r="C197" t="str">
        <f t="shared" si="12"/>
        <v>342856178197</v>
      </c>
      <c r="D197" t="str">
        <f t="shared" si="13"/>
        <v>3798512613197</v>
      </c>
      <c r="E197" t="str">
        <f t="shared" si="14"/>
        <v>Client197</v>
      </c>
      <c r="F197" t="str">
        <f t="shared" si="15"/>
        <v>BOB197</v>
      </c>
      <c r="G197" t="s">
        <v>22</v>
      </c>
      <c r="H197" t="s">
        <v>23</v>
      </c>
      <c r="I197" s="11">
        <v>699300</v>
      </c>
      <c r="J197" s="11">
        <v>800000</v>
      </c>
    </row>
    <row r="198" spans="1:10" hidden="1" x14ac:dyDescent="0.3">
      <c r="A198" s="10">
        <v>46027</v>
      </c>
      <c r="B198" t="s">
        <v>19</v>
      </c>
      <c r="C198" t="str">
        <f t="shared" si="12"/>
        <v>342856178198</v>
      </c>
      <c r="D198" t="str">
        <f t="shared" si="13"/>
        <v>3798512613198</v>
      </c>
      <c r="E198" t="str">
        <f t="shared" si="14"/>
        <v>Client198</v>
      </c>
      <c r="F198" t="str">
        <f t="shared" si="15"/>
        <v>BOB198</v>
      </c>
      <c r="G198" t="s">
        <v>25</v>
      </c>
      <c r="H198" t="s">
        <v>21</v>
      </c>
      <c r="I198" s="11">
        <v>650000</v>
      </c>
      <c r="J198" s="11">
        <v>4050000</v>
      </c>
    </row>
    <row r="199" spans="1:10" hidden="1" x14ac:dyDescent="0.3">
      <c r="A199" s="10">
        <v>46027</v>
      </c>
      <c r="B199" t="s">
        <v>19</v>
      </c>
      <c r="C199" t="str">
        <f t="shared" si="12"/>
        <v>342856178199</v>
      </c>
      <c r="D199" t="str">
        <f t="shared" si="13"/>
        <v>3798512613199</v>
      </c>
      <c r="E199" t="str">
        <f t="shared" si="14"/>
        <v>Client199</v>
      </c>
      <c r="F199" t="str">
        <f t="shared" si="15"/>
        <v>BOB199</v>
      </c>
      <c r="G199" t="s">
        <v>25</v>
      </c>
      <c r="H199" t="s">
        <v>21</v>
      </c>
      <c r="I199" s="11">
        <v>600000</v>
      </c>
      <c r="J199" s="11">
        <v>500000</v>
      </c>
    </row>
    <row r="200" spans="1:10" hidden="1" x14ac:dyDescent="0.3">
      <c r="A200" s="10">
        <v>46027</v>
      </c>
      <c r="B200" t="s">
        <v>19</v>
      </c>
      <c r="C200" t="str">
        <f t="shared" si="12"/>
        <v>342856178200</v>
      </c>
      <c r="D200" t="str">
        <f t="shared" si="13"/>
        <v>3798512613200</v>
      </c>
      <c r="E200" t="str">
        <f t="shared" si="14"/>
        <v>Client200</v>
      </c>
      <c r="F200" t="str">
        <f t="shared" si="15"/>
        <v>BOB200</v>
      </c>
      <c r="G200" t="s">
        <v>25</v>
      </c>
      <c r="H200" t="s">
        <v>21</v>
      </c>
      <c r="I200" s="11">
        <v>600000</v>
      </c>
      <c r="J200" s="11">
        <v>800000</v>
      </c>
    </row>
    <row r="201" spans="1:10" x14ac:dyDescent="0.3">
      <c r="A201" s="10">
        <v>46027</v>
      </c>
      <c r="B201" t="s">
        <v>19</v>
      </c>
      <c r="C201" t="str">
        <f t="shared" si="12"/>
        <v>342856178201</v>
      </c>
      <c r="D201" t="str">
        <f t="shared" si="13"/>
        <v>3798512613201</v>
      </c>
      <c r="E201" t="str">
        <f t="shared" si="14"/>
        <v>Client201</v>
      </c>
      <c r="F201" t="str">
        <f t="shared" si="15"/>
        <v>BOB201</v>
      </c>
      <c r="G201" t="s">
        <v>24</v>
      </c>
      <c r="H201" t="s">
        <v>21</v>
      </c>
      <c r="I201" s="11">
        <v>600000</v>
      </c>
      <c r="J201" s="11">
        <v>800000</v>
      </c>
    </row>
    <row r="202" spans="1:10" hidden="1" x14ac:dyDescent="0.3">
      <c r="A202" s="10">
        <v>46027</v>
      </c>
      <c r="B202" t="s">
        <v>19</v>
      </c>
      <c r="C202" t="str">
        <f t="shared" si="12"/>
        <v>342856178202</v>
      </c>
      <c r="D202" t="str">
        <f t="shared" si="13"/>
        <v>3798512613202</v>
      </c>
      <c r="E202" t="str">
        <f t="shared" si="14"/>
        <v>Client202</v>
      </c>
      <c r="F202" t="str">
        <f t="shared" si="15"/>
        <v>BOB202</v>
      </c>
      <c r="G202" t="s">
        <v>25</v>
      </c>
      <c r="H202" t="s">
        <v>21</v>
      </c>
      <c r="I202" s="11">
        <v>505300</v>
      </c>
      <c r="J202" s="11">
        <v>3400000</v>
      </c>
    </row>
    <row r="203" spans="1:10" hidden="1" x14ac:dyDescent="0.3">
      <c r="A203" s="10">
        <v>46027</v>
      </c>
      <c r="B203" t="s">
        <v>19</v>
      </c>
      <c r="C203" t="str">
        <f t="shared" si="12"/>
        <v>342856178203</v>
      </c>
      <c r="D203" t="str">
        <f t="shared" si="13"/>
        <v>3798512613203</v>
      </c>
      <c r="E203" t="str">
        <f t="shared" si="14"/>
        <v>Client203</v>
      </c>
      <c r="F203" t="str">
        <f t="shared" si="15"/>
        <v>BOB203</v>
      </c>
      <c r="G203" t="s">
        <v>25</v>
      </c>
      <c r="H203" t="s">
        <v>21</v>
      </c>
      <c r="I203" s="11">
        <v>500000</v>
      </c>
      <c r="J203" s="11">
        <v>0</v>
      </c>
    </row>
    <row r="204" spans="1:10" hidden="1" x14ac:dyDescent="0.3">
      <c r="A204" s="10">
        <v>46027</v>
      </c>
      <c r="B204" t="s">
        <v>19</v>
      </c>
      <c r="C204" t="str">
        <f t="shared" si="12"/>
        <v>342856178204</v>
      </c>
      <c r="D204" t="str">
        <f t="shared" si="13"/>
        <v>3798512613204</v>
      </c>
      <c r="E204" t="str">
        <f t="shared" si="14"/>
        <v>Client204</v>
      </c>
      <c r="F204" t="str">
        <f t="shared" si="15"/>
        <v>BOB204</v>
      </c>
      <c r="I204" s="11">
        <v>500000</v>
      </c>
      <c r="J204" s="11">
        <v>0</v>
      </c>
    </row>
    <row r="205" spans="1:10" x14ac:dyDescent="0.3">
      <c r="A205" s="10">
        <v>46027</v>
      </c>
      <c r="B205" t="s">
        <v>19</v>
      </c>
      <c r="C205" t="str">
        <f t="shared" si="12"/>
        <v>342856178205</v>
      </c>
      <c r="D205" t="str">
        <f t="shared" si="13"/>
        <v>3798512613205</v>
      </c>
      <c r="E205" t="str">
        <f t="shared" si="14"/>
        <v>Client205</v>
      </c>
      <c r="F205" t="str">
        <f t="shared" si="15"/>
        <v>BOB205</v>
      </c>
      <c r="G205" t="s">
        <v>24</v>
      </c>
      <c r="H205" t="s">
        <v>21</v>
      </c>
      <c r="I205" s="11">
        <v>500000</v>
      </c>
      <c r="J205" s="11">
        <v>500000</v>
      </c>
    </row>
    <row r="206" spans="1:10" hidden="1" x14ac:dyDescent="0.3">
      <c r="A206" s="10">
        <v>46027</v>
      </c>
      <c r="B206" t="s">
        <v>19</v>
      </c>
      <c r="C206" t="str">
        <f t="shared" si="12"/>
        <v>342856178206</v>
      </c>
      <c r="D206" t="str">
        <f t="shared" si="13"/>
        <v>3798512613206</v>
      </c>
      <c r="E206" t="str">
        <f t="shared" si="14"/>
        <v>Client206</v>
      </c>
      <c r="F206" t="str">
        <f t="shared" si="15"/>
        <v>BOB206</v>
      </c>
      <c r="G206" t="s">
        <v>20</v>
      </c>
      <c r="H206" t="s">
        <v>21</v>
      </c>
      <c r="I206" s="11">
        <v>500000</v>
      </c>
      <c r="J206" s="11">
        <v>11800000</v>
      </c>
    </row>
    <row r="207" spans="1:10" hidden="1" x14ac:dyDescent="0.3">
      <c r="A207" s="10">
        <v>46027</v>
      </c>
      <c r="B207" t="s">
        <v>19</v>
      </c>
      <c r="C207" t="str">
        <f t="shared" si="12"/>
        <v>342856178207</v>
      </c>
      <c r="D207" t="str">
        <f t="shared" si="13"/>
        <v>3798512613207</v>
      </c>
      <c r="E207" t="str">
        <f t="shared" si="14"/>
        <v>Client207</v>
      </c>
      <c r="F207" t="str">
        <f t="shared" si="15"/>
        <v>BOB207</v>
      </c>
      <c r="G207" t="s">
        <v>25</v>
      </c>
      <c r="H207" t="s">
        <v>21</v>
      </c>
      <c r="I207" s="11">
        <v>487600</v>
      </c>
      <c r="J207" s="11">
        <v>500000</v>
      </c>
    </row>
    <row r="208" spans="1:10" hidden="1" x14ac:dyDescent="0.3">
      <c r="A208" s="10">
        <v>46027</v>
      </c>
      <c r="B208" t="s">
        <v>19</v>
      </c>
      <c r="C208" t="str">
        <f t="shared" si="12"/>
        <v>342856178208</v>
      </c>
      <c r="D208" t="str">
        <f t="shared" si="13"/>
        <v>3798512613208</v>
      </c>
      <c r="E208" t="str">
        <f t="shared" si="14"/>
        <v>Client208</v>
      </c>
      <c r="F208" t="str">
        <f t="shared" si="15"/>
        <v>BOB208</v>
      </c>
      <c r="G208" t="s">
        <v>25</v>
      </c>
      <c r="H208" t="s">
        <v>21</v>
      </c>
      <c r="I208" s="11">
        <v>400000</v>
      </c>
      <c r="J208" s="11">
        <v>0</v>
      </c>
    </row>
    <row r="209" spans="1:10" hidden="1" x14ac:dyDescent="0.3">
      <c r="A209" s="10">
        <v>46027</v>
      </c>
      <c r="B209" t="s">
        <v>19</v>
      </c>
      <c r="C209" t="str">
        <f t="shared" si="12"/>
        <v>342856178209</v>
      </c>
      <c r="D209" t="str">
        <f t="shared" si="13"/>
        <v>3798512613209</v>
      </c>
      <c r="E209" t="str">
        <f t="shared" si="14"/>
        <v>Client209</v>
      </c>
      <c r="F209" t="str">
        <f t="shared" si="15"/>
        <v>BOB209</v>
      </c>
      <c r="G209" t="s">
        <v>25</v>
      </c>
      <c r="H209" t="s">
        <v>21</v>
      </c>
      <c r="I209" s="11">
        <v>400000</v>
      </c>
      <c r="J209" s="11">
        <v>0</v>
      </c>
    </row>
    <row r="210" spans="1:10" hidden="1" x14ac:dyDescent="0.3">
      <c r="A210" s="10">
        <v>46027</v>
      </c>
      <c r="B210" t="s">
        <v>19</v>
      </c>
      <c r="C210" t="str">
        <f t="shared" si="12"/>
        <v>342856178210</v>
      </c>
      <c r="D210" t="str">
        <f t="shared" si="13"/>
        <v>3798512613210</v>
      </c>
      <c r="E210" t="str">
        <f t="shared" si="14"/>
        <v>Client210</v>
      </c>
      <c r="F210" t="str">
        <f t="shared" si="15"/>
        <v>BOB210</v>
      </c>
      <c r="G210" t="s">
        <v>25</v>
      </c>
      <c r="H210" t="s">
        <v>21</v>
      </c>
      <c r="I210" s="11">
        <v>400000</v>
      </c>
      <c r="J210" s="11">
        <v>0</v>
      </c>
    </row>
    <row r="211" spans="1:10" hidden="1" x14ac:dyDescent="0.3">
      <c r="A211" s="10">
        <v>46027</v>
      </c>
      <c r="B211" t="s">
        <v>19</v>
      </c>
      <c r="C211" t="str">
        <f t="shared" si="12"/>
        <v>342856178211</v>
      </c>
      <c r="D211" t="str">
        <f t="shared" si="13"/>
        <v>3798512613211</v>
      </c>
      <c r="E211" t="str">
        <f t="shared" si="14"/>
        <v>Client211</v>
      </c>
      <c r="F211" t="str">
        <f t="shared" si="15"/>
        <v>BOB211</v>
      </c>
      <c r="G211" t="s">
        <v>25</v>
      </c>
      <c r="H211" t="s">
        <v>21</v>
      </c>
      <c r="I211" s="11">
        <v>400000</v>
      </c>
      <c r="J211" s="11">
        <v>3401500</v>
      </c>
    </row>
    <row r="212" spans="1:10" hidden="1" x14ac:dyDescent="0.3">
      <c r="A212" s="10">
        <v>46027</v>
      </c>
      <c r="B212" t="s">
        <v>19</v>
      </c>
      <c r="C212" t="str">
        <f t="shared" si="12"/>
        <v>342856178212</v>
      </c>
      <c r="D212" t="str">
        <f t="shared" si="13"/>
        <v>3798512613212</v>
      </c>
      <c r="E212" t="str">
        <f t="shared" si="14"/>
        <v>Client212</v>
      </c>
      <c r="F212" t="str">
        <f t="shared" si="15"/>
        <v>BOB212</v>
      </c>
      <c r="I212" s="11">
        <v>400000</v>
      </c>
      <c r="J212" s="11">
        <v>1900000</v>
      </c>
    </row>
    <row r="213" spans="1:10" hidden="1" x14ac:dyDescent="0.3">
      <c r="A213" s="10">
        <v>46027</v>
      </c>
      <c r="B213" t="s">
        <v>19</v>
      </c>
      <c r="C213" t="str">
        <f t="shared" si="12"/>
        <v>342856178213</v>
      </c>
      <c r="D213" t="str">
        <f t="shared" si="13"/>
        <v>3798512613213</v>
      </c>
      <c r="E213" t="str">
        <f t="shared" si="14"/>
        <v>Client213</v>
      </c>
      <c r="F213" t="str">
        <f t="shared" si="15"/>
        <v>BOB213</v>
      </c>
      <c r="G213" t="s">
        <v>25</v>
      </c>
      <c r="H213" t="s">
        <v>21</v>
      </c>
      <c r="I213" s="11">
        <v>310000</v>
      </c>
      <c r="J213" s="11">
        <v>558000</v>
      </c>
    </row>
    <row r="214" spans="1:10" hidden="1" x14ac:dyDescent="0.3">
      <c r="A214" s="10">
        <v>46027</v>
      </c>
      <c r="B214" t="s">
        <v>19</v>
      </c>
      <c r="C214" t="str">
        <f t="shared" si="12"/>
        <v>342856178214</v>
      </c>
      <c r="D214" t="str">
        <f t="shared" si="13"/>
        <v>3798512613214</v>
      </c>
      <c r="E214" t="str">
        <f t="shared" si="14"/>
        <v>Client214</v>
      </c>
      <c r="F214" t="str">
        <f t="shared" si="15"/>
        <v>BOB214</v>
      </c>
      <c r="G214" t="s">
        <v>25</v>
      </c>
      <c r="H214" t="s">
        <v>21</v>
      </c>
      <c r="I214" s="11">
        <v>300000</v>
      </c>
      <c r="J214" s="11">
        <v>700000</v>
      </c>
    </row>
    <row r="215" spans="1:10" hidden="1" x14ac:dyDescent="0.3">
      <c r="A215" s="10">
        <v>46027</v>
      </c>
      <c r="B215" t="s">
        <v>19</v>
      </c>
      <c r="C215" t="str">
        <f t="shared" si="12"/>
        <v>342856178215</v>
      </c>
      <c r="D215" t="str">
        <f t="shared" si="13"/>
        <v>3798512613215</v>
      </c>
      <c r="E215" t="str">
        <f t="shared" si="14"/>
        <v>Client215</v>
      </c>
      <c r="F215" t="str">
        <f t="shared" si="15"/>
        <v>BOB215</v>
      </c>
      <c r="G215" t="s">
        <v>20</v>
      </c>
      <c r="H215" t="s">
        <v>21</v>
      </c>
      <c r="I215" s="11">
        <v>300000</v>
      </c>
      <c r="J215" s="11">
        <v>256800</v>
      </c>
    </row>
    <row r="216" spans="1:10" x14ac:dyDescent="0.3">
      <c r="A216" s="10">
        <v>46027</v>
      </c>
      <c r="B216" t="s">
        <v>19</v>
      </c>
      <c r="C216" t="str">
        <f t="shared" si="12"/>
        <v>342856178216</v>
      </c>
      <c r="D216" t="str">
        <f t="shared" si="13"/>
        <v>3798512613216</v>
      </c>
      <c r="E216" t="str">
        <f t="shared" si="14"/>
        <v>Client216</v>
      </c>
      <c r="F216" t="str">
        <f t="shared" si="15"/>
        <v>BOB216</v>
      </c>
      <c r="G216" t="s">
        <v>24</v>
      </c>
      <c r="H216" t="s">
        <v>21</v>
      </c>
      <c r="I216" s="11">
        <v>300000</v>
      </c>
      <c r="J216" s="11">
        <v>300000</v>
      </c>
    </row>
    <row r="217" spans="1:10" hidden="1" x14ac:dyDescent="0.3">
      <c r="A217" s="10">
        <v>46027</v>
      </c>
      <c r="B217" t="s">
        <v>19</v>
      </c>
      <c r="C217" t="str">
        <f t="shared" si="12"/>
        <v>342856178217</v>
      </c>
      <c r="D217" t="str">
        <f t="shared" si="13"/>
        <v>3798512613217</v>
      </c>
      <c r="E217" t="str">
        <f t="shared" si="14"/>
        <v>Client217</v>
      </c>
      <c r="F217" t="str">
        <f t="shared" si="15"/>
        <v>BOB217</v>
      </c>
      <c r="G217" t="s">
        <v>25</v>
      </c>
      <c r="H217" t="s">
        <v>21</v>
      </c>
      <c r="I217" s="11">
        <v>300000</v>
      </c>
      <c r="J217" s="11">
        <v>0</v>
      </c>
    </row>
    <row r="218" spans="1:10" hidden="1" x14ac:dyDescent="0.3">
      <c r="A218" s="10">
        <v>46027</v>
      </c>
      <c r="B218" t="s">
        <v>19</v>
      </c>
      <c r="C218" t="str">
        <f t="shared" si="12"/>
        <v>342856178218</v>
      </c>
      <c r="D218" t="str">
        <f t="shared" si="13"/>
        <v>3798512613218</v>
      </c>
      <c r="E218" t="str">
        <f t="shared" si="14"/>
        <v>Client218</v>
      </c>
      <c r="F218" t="str">
        <f t="shared" si="15"/>
        <v>BOB218</v>
      </c>
      <c r="G218" t="s">
        <v>25</v>
      </c>
      <c r="H218" t="s">
        <v>21</v>
      </c>
      <c r="I218" s="11">
        <v>300000</v>
      </c>
      <c r="J218" s="11">
        <v>0</v>
      </c>
    </row>
    <row r="219" spans="1:10" hidden="1" x14ac:dyDescent="0.3">
      <c r="A219" s="10">
        <v>46027</v>
      </c>
      <c r="B219" t="s">
        <v>19</v>
      </c>
      <c r="C219" t="str">
        <f t="shared" si="12"/>
        <v>342856178219</v>
      </c>
      <c r="D219" t="str">
        <f t="shared" si="13"/>
        <v>3798512613219</v>
      </c>
      <c r="E219" t="str">
        <f t="shared" si="14"/>
        <v>Client219</v>
      </c>
      <c r="F219" t="str">
        <f t="shared" si="15"/>
        <v>BOB219</v>
      </c>
      <c r="G219" t="s">
        <v>25</v>
      </c>
      <c r="H219" t="s">
        <v>21</v>
      </c>
      <c r="I219" s="11">
        <v>300000</v>
      </c>
      <c r="J219" s="11">
        <v>0</v>
      </c>
    </row>
    <row r="220" spans="1:10" hidden="1" x14ac:dyDescent="0.3">
      <c r="A220" s="10">
        <v>46027</v>
      </c>
      <c r="B220" t="s">
        <v>19</v>
      </c>
      <c r="C220" t="str">
        <f t="shared" si="12"/>
        <v>342856178220</v>
      </c>
      <c r="D220" t="str">
        <f t="shared" si="13"/>
        <v>3798512613220</v>
      </c>
      <c r="E220" t="str">
        <f t="shared" si="14"/>
        <v>Client220</v>
      </c>
      <c r="F220" t="str">
        <f t="shared" si="15"/>
        <v>BOB220</v>
      </c>
      <c r="G220" t="s">
        <v>25</v>
      </c>
      <c r="H220" t="s">
        <v>21</v>
      </c>
      <c r="I220" s="11">
        <v>300000</v>
      </c>
      <c r="J220" s="11">
        <v>0</v>
      </c>
    </row>
    <row r="221" spans="1:10" hidden="1" x14ac:dyDescent="0.3">
      <c r="A221" s="10">
        <v>46027</v>
      </c>
      <c r="B221" t="s">
        <v>19</v>
      </c>
      <c r="C221" t="str">
        <f t="shared" si="12"/>
        <v>342856178221</v>
      </c>
      <c r="D221" t="str">
        <f t="shared" si="13"/>
        <v>3798512613221</v>
      </c>
      <c r="E221" t="str">
        <f t="shared" si="14"/>
        <v>Client221</v>
      </c>
      <c r="F221" t="str">
        <f t="shared" si="15"/>
        <v>BOB221</v>
      </c>
      <c r="G221" t="s">
        <v>22</v>
      </c>
      <c r="H221" t="s">
        <v>23</v>
      </c>
      <c r="I221" s="11">
        <v>300000</v>
      </c>
      <c r="J221" s="11">
        <v>1301300</v>
      </c>
    </row>
    <row r="222" spans="1:10" hidden="1" x14ac:dyDescent="0.3">
      <c r="A222" s="10">
        <v>46027</v>
      </c>
      <c r="B222" t="s">
        <v>19</v>
      </c>
      <c r="C222" t="str">
        <f t="shared" si="12"/>
        <v>342856178222</v>
      </c>
      <c r="D222" t="str">
        <f t="shared" si="13"/>
        <v>3798512613222</v>
      </c>
      <c r="E222" t="str">
        <f t="shared" si="14"/>
        <v>Client222</v>
      </c>
      <c r="F222" t="str">
        <f t="shared" si="15"/>
        <v>BOB222</v>
      </c>
      <c r="G222" t="s">
        <v>20</v>
      </c>
      <c r="H222" t="s">
        <v>21</v>
      </c>
      <c r="I222" s="11">
        <v>200000</v>
      </c>
      <c r="J222" s="11">
        <v>700000</v>
      </c>
    </row>
    <row r="223" spans="1:10" hidden="1" x14ac:dyDescent="0.3">
      <c r="A223" s="10">
        <v>46027</v>
      </c>
      <c r="B223" t="s">
        <v>19</v>
      </c>
      <c r="C223" t="str">
        <f t="shared" si="12"/>
        <v>342856178223</v>
      </c>
      <c r="D223" t="str">
        <f t="shared" si="13"/>
        <v>3798512613223</v>
      </c>
      <c r="E223" t="str">
        <f t="shared" si="14"/>
        <v>Client223</v>
      </c>
      <c r="F223" t="str">
        <f t="shared" si="15"/>
        <v>BOB223</v>
      </c>
      <c r="G223" t="s">
        <v>25</v>
      </c>
      <c r="H223" t="s">
        <v>21</v>
      </c>
      <c r="I223" s="11">
        <v>200000</v>
      </c>
      <c r="J223" s="11">
        <v>900000</v>
      </c>
    </row>
    <row r="224" spans="1:10" hidden="1" x14ac:dyDescent="0.3">
      <c r="A224" s="10">
        <v>46027</v>
      </c>
      <c r="B224" t="s">
        <v>19</v>
      </c>
      <c r="C224" t="str">
        <f t="shared" si="12"/>
        <v>342856178224</v>
      </c>
      <c r="D224" t="str">
        <f t="shared" si="13"/>
        <v>3798512613224</v>
      </c>
      <c r="E224" t="str">
        <f t="shared" si="14"/>
        <v>Client224</v>
      </c>
      <c r="F224" t="str">
        <f t="shared" si="15"/>
        <v>BOB224</v>
      </c>
      <c r="G224" t="s">
        <v>25</v>
      </c>
      <c r="H224" t="s">
        <v>21</v>
      </c>
      <c r="I224" s="11">
        <v>200000</v>
      </c>
      <c r="J224" s="11">
        <v>200000</v>
      </c>
    </row>
    <row r="225" spans="1:10" hidden="1" x14ac:dyDescent="0.3">
      <c r="A225" s="10">
        <v>46027</v>
      </c>
      <c r="B225" t="s">
        <v>19</v>
      </c>
      <c r="C225" t="str">
        <f t="shared" si="12"/>
        <v>342856178225</v>
      </c>
      <c r="D225" t="str">
        <f t="shared" si="13"/>
        <v>3798512613225</v>
      </c>
      <c r="E225" t="str">
        <f t="shared" si="14"/>
        <v>Client225</v>
      </c>
      <c r="F225" t="str">
        <f t="shared" si="15"/>
        <v>BOB225</v>
      </c>
      <c r="G225" t="s">
        <v>25</v>
      </c>
      <c r="H225" t="s">
        <v>21</v>
      </c>
      <c r="I225" s="11">
        <v>200000</v>
      </c>
      <c r="J225" s="11">
        <v>200000</v>
      </c>
    </row>
    <row r="226" spans="1:10" x14ac:dyDescent="0.3">
      <c r="A226" s="10">
        <v>46027</v>
      </c>
      <c r="B226" t="s">
        <v>19</v>
      </c>
      <c r="C226" t="str">
        <f t="shared" si="12"/>
        <v>342856178226</v>
      </c>
      <c r="D226" t="str">
        <f t="shared" si="13"/>
        <v>3798512613226</v>
      </c>
      <c r="E226" t="str">
        <f t="shared" si="14"/>
        <v>Client226</v>
      </c>
      <c r="F226" t="str">
        <f t="shared" si="15"/>
        <v>BOB226</v>
      </c>
      <c r="G226" t="s">
        <v>24</v>
      </c>
      <c r="H226" t="s">
        <v>21</v>
      </c>
      <c r="I226" s="11">
        <v>200000</v>
      </c>
      <c r="J226" s="11">
        <v>0</v>
      </c>
    </row>
    <row r="227" spans="1:10" hidden="1" x14ac:dyDescent="0.3">
      <c r="A227" s="10">
        <v>46027</v>
      </c>
      <c r="B227" t="s">
        <v>19</v>
      </c>
      <c r="C227" t="str">
        <f t="shared" si="12"/>
        <v>342856178227</v>
      </c>
      <c r="D227" t="str">
        <f t="shared" si="13"/>
        <v>3798512613227</v>
      </c>
      <c r="E227" t="str">
        <f t="shared" si="14"/>
        <v>Client227</v>
      </c>
      <c r="F227" t="str">
        <f t="shared" si="15"/>
        <v>BOB227</v>
      </c>
      <c r="G227" t="s">
        <v>22</v>
      </c>
      <c r="H227" t="s">
        <v>23</v>
      </c>
      <c r="I227" s="11">
        <v>200000</v>
      </c>
      <c r="J227" s="11">
        <v>1001000</v>
      </c>
    </row>
    <row r="228" spans="1:10" hidden="1" x14ac:dyDescent="0.3">
      <c r="A228" s="10">
        <v>46027</v>
      </c>
      <c r="B228" t="s">
        <v>19</v>
      </c>
      <c r="C228" t="str">
        <f t="shared" si="12"/>
        <v>342856178228</v>
      </c>
      <c r="D228" t="str">
        <f t="shared" si="13"/>
        <v>3798512613228</v>
      </c>
      <c r="E228" t="str">
        <f t="shared" si="14"/>
        <v>Client228</v>
      </c>
      <c r="F228" t="str">
        <f t="shared" si="15"/>
        <v>BOB228</v>
      </c>
      <c r="I228" s="11">
        <v>200000</v>
      </c>
      <c r="J228" s="11">
        <v>0</v>
      </c>
    </row>
    <row r="229" spans="1:10" hidden="1" x14ac:dyDescent="0.3">
      <c r="A229" s="10">
        <v>46027</v>
      </c>
      <c r="B229" t="s">
        <v>19</v>
      </c>
      <c r="C229" t="str">
        <f t="shared" si="12"/>
        <v>342856178229</v>
      </c>
      <c r="D229" t="str">
        <f t="shared" si="13"/>
        <v>3798512613229</v>
      </c>
      <c r="E229" t="str">
        <f t="shared" si="14"/>
        <v>Client229</v>
      </c>
      <c r="F229" t="str">
        <f t="shared" si="15"/>
        <v>BOB229</v>
      </c>
      <c r="I229" s="11">
        <v>70000</v>
      </c>
      <c r="J229" s="11">
        <v>0</v>
      </c>
    </row>
    <row r="230" spans="1:10" hidden="1" x14ac:dyDescent="0.3">
      <c r="A230" s="10">
        <v>46027</v>
      </c>
      <c r="B230" t="s">
        <v>19</v>
      </c>
      <c r="C230" t="str">
        <f t="shared" si="12"/>
        <v>342856178230</v>
      </c>
      <c r="D230" t="str">
        <f t="shared" si="13"/>
        <v>3798512613230</v>
      </c>
      <c r="E230" t="str">
        <f t="shared" si="14"/>
        <v>Client230</v>
      </c>
      <c r="F230" t="str">
        <f t="shared" si="15"/>
        <v>BOB230</v>
      </c>
      <c r="G230" t="s">
        <v>25</v>
      </c>
      <c r="H230" t="s">
        <v>21</v>
      </c>
      <c r="I230" s="11">
        <v>0</v>
      </c>
      <c r="J230" s="11">
        <v>530000</v>
      </c>
    </row>
    <row r="231" spans="1:10" hidden="1" x14ac:dyDescent="0.3">
      <c r="A231" s="10">
        <v>46027</v>
      </c>
      <c r="B231" t="s">
        <v>19</v>
      </c>
      <c r="C231" t="str">
        <f t="shared" si="12"/>
        <v>342856178231</v>
      </c>
      <c r="D231" t="str">
        <f t="shared" si="13"/>
        <v>3798512613231</v>
      </c>
      <c r="E231" t="str">
        <f t="shared" si="14"/>
        <v>Client231</v>
      </c>
      <c r="F231" t="str">
        <f t="shared" si="15"/>
        <v>BOB231</v>
      </c>
      <c r="G231" t="s">
        <v>25</v>
      </c>
      <c r="H231" t="s">
        <v>21</v>
      </c>
      <c r="I231" s="11">
        <v>0</v>
      </c>
      <c r="J231" s="11">
        <v>300000</v>
      </c>
    </row>
    <row r="232" spans="1:10" hidden="1" x14ac:dyDescent="0.3">
      <c r="A232" s="10">
        <v>46027</v>
      </c>
      <c r="B232" t="s">
        <v>19</v>
      </c>
      <c r="C232" t="str">
        <f t="shared" si="12"/>
        <v>342856178232</v>
      </c>
      <c r="D232" t="str">
        <f t="shared" si="13"/>
        <v>3798512613232</v>
      </c>
      <c r="E232" t="str">
        <f t="shared" si="14"/>
        <v>Client232</v>
      </c>
      <c r="F232" t="str">
        <f t="shared" si="15"/>
        <v>BOB232</v>
      </c>
      <c r="G232" t="s">
        <v>25</v>
      </c>
      <c r="H232" t="s">
        <v>21</v>
      </c>
      <c r="I232" s="11">
        <v>0</v>
      </c>
      <c r="J232" s="11">
        <v>2400000</v>
      </c>
    </row>
    <row r="233" spans="1:10" hidden="1" x14ac:dyDescent="0.3">
      <c r="A233" s="10">
        <v>46027</v>
      </c>
      <c r="B233" t="s">
        <v>19</v>
      </c>
      <c r="C233" t="str">
        <f t="shared" si="12"/>
        <v>342856178233</v>
      </c>
      <c r="D233" t="str">
        <f t="shared" si="13"/>
        <v>3798512613233</v>
      </c>
      <c r="E233" t="str">
        <f t="shared" si="14"/>
        <v>Client233</v>
      </c>
      <c r="F233" t="str">
        <f t="shared" si="15"/>
        <v>BOB233</v>
      </c>
      <c r="G233" t="s">
        <v>25</v>
      </c>
      <c r="H233" t="s">
        <v>21</v>
      </c>
      <c r="I233" s="11">
        <v>0</v>
      </c>
      <c r="J233" s="11">
        <v>1000000</v>
      </c>
    </row>
    <row r="234" spans="1:10" hidden="1" x14ac:dyDescent="0.3">
      <c r="A234" s="10">
        <v>46027</v>
      </c>
      <c r="B234" t="s">
        <v>19</v>
      </c>
      <c r="C234" t="str">
        <f t="shared" si="12"/>
        <v>342856178234</v>
      </c>
      <c r="D234" t="str">
        <f t="shared" si="13"/>
        <v>3798512613234</v>
      </c>
      <c r="E234" t="str">
        <f t="shared" si="14"/>
        <v>Client234</v>
      </c>
      <c r="F234" t="str">
        <f t="shared" si="15"/>
        <v>BOB234</v>
      </c>
      <c r="G234" t="s">
        <v>25</v>
      </c>
      <c r="H234" t="s">
        <v>21</v>
      </c>
      <c r="I234" s="11">
        <v>0</v>
      </c>
      <c r="J234" s="11">
        <v>1100600</v>
      </c>
    </row>
    <row r="235" spans="1:10" hidden="1" x14ac:dyDescent="0.3">
      <c r="A235" s="10">
        <v>46027</v>
      </c>
      <c r="B235" t="s">
        <v>19</v>
      </c>
      <c r="C235" t="str">
        <f t="shared" si="12"/>
        <v>342856178235</v>
      </c>
      <c r="D235" t="str">
        <f t="shared" si="13"/>
        <v>3798512613235</v>
      </c>
      <c r="E235" t="str">
        <f t="shared" si="14"/>
        <v>Client235</v>
      </c>
      <c r="F235" t="str">
        <f t="shared" si="15"/>
        <v>BOB235</v>
      </c>
      <c r="G235" t="s">
        <v>25</v>
      </c>
      <c r="H235" t="s">
        <v>21</v>
      </c>
      <c r="I235" s="11">
        <v>0</v>
      </c>
      <c r="J235" s="11">
        <v>1587000</v>
      </c>
    </row>
    <row r="236" spans="1:10" hidden="1" x14ac:dyDescent="0.3">
      <c r="A236" s="10">
        <v>46027</v>
      </c>
      <c r="B236" t="s">
        <v>19</v>
      </c>
      <c r="C236" t="str">
        <f t="shared" si="12"/>
        <v>342856178236</v>
      </c>
      <c r="D236" t="str">
        <f t="shared" si="13"/>
        <v>3798512613236</v>
      </c>
      <c r="E236" t="str">
        <f t="shared" si="14"/>
        <v>Client236</v>
      </c>
      <c r="F236" t="str">
        <f t="shared" si="15"/>
        <v>BOB236</v>
      </c>
      <c r="G236" t="s">
        <v>25</v>
      </c>
      <c r="H236" t="s">
        <v>21</v>
      </c>
      <c r="I236" s="11">
        <v>0</v>
      </c>
      <c r="J236" s="11">
        <v>1000000</v>
      </c>
    </row>
    <row r="237" spans="1:10" hidden="1" x14ac:dyDescent="0.3">
      <c r="A237" s="10">
        <v>46027</v>
      </c>
      <c r="B237" t="s">
        <v>19</v>
      </c>
      <c r="C237" t="str">
        <f t="shared" si="12"/>
        <v>342856178237</v>
      </c>
      <c r="D237" t="str">
        <f t="shared" si="13"/>
        <v>3798512613237</v>
      </c>
      <c r="E237" t="str">
        <f t="shared" si="14"/>
        <v>Client237</v>
      </c>
      <c r="F237" t="str">
        <f t="shared" si="15"/>
        <v>BOB237</v>
      </c>
      <c r="G237" t="s">
        <v>25</v>
      </c>
      <c r="H237" t="s">
        <v>21</v>
      </c>
      <c r="I237" s="11">
        <v>0</v>
      </c>
      <c r="J237" s="11">
        <v>1800000</v>
      </c>
    </row>
    <row r="238" spans="1:10" hidden="1" x14ac:dyDescent="0.3">
      <c r="A238" s="10">
        <v>46027</v>
      </c>
      <c r="B238" t="s">
        <v>19</v>
      </c>
      <c r="C238" t="str">
        <f t="shared" si="12"/>
        <v>342856178238</v>
      </c>
      <c r="D238" t="str">
        <f t="shared" si="13"/>
        <v>3798512613238</v>
      </c>
      <c r="E238" t="str">
        <f t="shared" si="14"/>
        <v>Client238</v>
      </c>
      <c r="F238" t="str">
        <f t="shared" si="15"/>
        <v>BOB238</v>
      </c>
      <c r="G238" t="s">
        <v>25</v>
      </c>
      <c r="H238" t="s">
        <v>21</v>
      </c>
      <c r="I238" s="11">
        <v>0</v>
      </c>
      <c r="J238" s="11">
        <v>2000000</v>
      </c>
    </row>
    <row r="239" spans="1:10" hidden="1" x14ac:dyDescent="0.3">
      <c r="A239" s="10">
        <v>46027</v>
      </c>
      <c r="B239" t="s">
        <v>19</v>
      </c>
      <c r="C239" t="str">
        <f t="shared" si="12"/>
        <v>342856178239</v>
      </c>
      <c r="D239" t="str">
        <f t="shared" si="13"/>
        <v>3798512613239</v>
      </c>
      <c r="E239" t="str">
        <f t="shared" si="14"/>
        <v>Client239</v>
      </c>
      <c r="F239" t="str">
        <f t="shared" si="15"/>
        <v>BOB239</v>
      </c>
      <c r="G239" t="s">
        <v>25</v>
      </c>
      <c r="H239" t="s">
        <v>21</v>
      </c>
      <c r="I239" s="11">
        <v>0</v>
      </c>
      <c r="J239" s="11">
        <v>1400000</v>
      </c>
    </row>
    <row r="240" spans="1:10" hidden="1" x14ac:dyDescent="0.3">
      <c r="A240" s="10">
        <v>46027</v>
      </c>
      <c r="B240" t="s">
        <v>19</v>
      </c>
      <c r="C240" t="str">
        <f t="shared" si="12"/>
        <v>342856178240</v>
      </c>
      <c r="D240" t="str">
        <f t="shared" si="13"/>
        <v>3798512613240</v>
      </c>
      <c r="E240" t="str">
        <f t="shared" si="14"/>
        <v>Client240</v>
      </c>
      <c r="F240" t="str">
        <f t="shared" si="15"/>
        <v>BOB240</v>
      </c>
      <c r="G240" t="s">
        <v>25</v>
      </c>
      <c r="H240" t="s">
        <v>21</v>
      </c>
      <c r="I240" s="11">
        <v>0</v>
      </c>
      <c r="J240" s="11">
        <v>700000</v>
      </c>
    </row>
    <row r="241" spans="1:10" hidden="1" x14ac:dyDescent="0.3">
      <c r="A241" s="10">
        <v>46027</v>
      </c>
      <c r="B241" t="s">
        <v>19</v>
      </c>
      <c r="C241" t="str">
        <f t="shared" si="12"/>
        <v>342856178241</v>
      </c>
      <c r="D241" t="str">
        <f t="shared" si="13"/>
        <v>3798512613241</v>
      </c>
      <c r="E241" t="str">
        <f t="shared" si="14"/>
        <v>Client241</v>
      </c>
      <c r="F241" t="str">
        <f t="shared" si="15"/>
        <v>BOB241</v>
      </c>
      <c r="G241" t="s">
        <v>25</v>
      </c>
      <c r="H241" t="s">
        <v>21</v>
      </c>
      <c r="I241" s="11">
        <v>0</v>
      </c>
      <c r="J241" s="11">
        <v>900000</v>
      </c>
    </row>
    <row r="242" spans="1:10" hidden="1" x14ac:dyDescent="0.3">
      <c r="A242" s="10">
        <v>46027</v>
      </c>
      <c r="B242" t="s">
        <v>19</v>
      </c>
      <c r="C242" t="str">
        <f t="shared" si="12"/>
        <v>342856178242</v>
      </c>
      <c r="D242" t="str">
        <f t="shared" si="13"/>
        <v>3798512613242</v>
      </c>
      <c r="E242" t="str">
        <f t="shared" si="14"/>
        <v>Client242</v>
      </c>
      <c r="F242" t="str">
        <f t="shared" si="15"/>
        <v>BOB242</v>
      </c>
      <c r="G242" t="s">
        <v>25</v>
      </c>
      <c r="H242" t="s">
        <v>21</v>
      </c>
      <c r="I242" s="11">
        <v>0</v>
      </c>
      <c r="J242" s="11">
        <v>136000</v>
      </c>
    </row>
    <row r="243" spans="1:10" hidden="1" x14ac:dyDescent="0.3">
      <c r="A243" s="10">
        <v>46027</v>
      </c>
      <c r="B243" t="s">
        <v>19</v>
      </c>
      <c r="C243" t="str">
        <f t="shared" si="12"/>
        <v>342856178243</v>
      </c>
      <c r="D243" t="str">
        <f t="shared" si="13"/>
        <v>3798512613243</v>
      </c>
      <c r="E243" t="str">
        <f t="shared" si="14"/>
        <v>Client243</v>
      </c>
      <c r="F243" t="str">
        <f t="shared" si="15"/>
        <v>BOB243</v>
      </c>
      <c r="G243" t="s">
        <v>24</v>
      </c>
      <c r="H243" t="s">
        <v>21</v>
      </c>
      <c r="I243" s="11">
        <v>0</v>
      </c>
      <c r="J243" s="11">
        <v>3500000</v>
      </c>
    </row>
    <row r="244" spans="1:10" hidden="1" x14ac:dyDescent="0.3">
      <c r="A244" s="10">
        <v>46027</v>
      </c>
      <c r="B244" t="s">
        <v>19</v>
      </c>
      <c r="C244" t="str">
        <f t="shared" si="12"/>
        <v>342856178244</v>
      </c>
      <c r="D244" t="str">
        <f t="shared" si="13"/>
        <v>3798512613244</v>
      </c>
      <c r="E244" t="str">
        <f t="shared" si="14"/>
        <v>Client244</v>
      </c>
      <c r="F244" t="str">
        <f t="shared" si="15"/>
        <v>BOB244</v>
      </c>
      <c r="G244" t="s">
        <v>24</v>
      </c>
      <c r="H244" t="s">
        <v>21</v>
      </c>
      <c r="I244" s="11">
        <v>0</v>
      </c>
      <c r="J244" s="11">
        <v>1500000</v>
      </c>
    </row>
    <row r="245" spans="1:10" hidden="1" x14ac:dyDescent="0.3">
      <c r="A245" s="10">
        <v>46027</v>
      </c>
      <c r="B245" t="s">
        <v>19</v>
      </c>
      <c r="C245" t="str">
        <f t="shared" si="12"/>
        <v>342856178245</v>
      </c>
      <c r="D245" t="str">
        <f t="shared" si="13"/>
        <v>3798512613245</v>
      </c>
      <c r="E245" t="str">
        <f t="shared" si="14"/>
        <v>Client245</v>
      </c>
      <c r="F245" t="str">
        <f t="shared" si="15"/>
        <v>BOB245</v>
      </c>
      <c r="G245" t="s">
        <v>24</v>
      </c>
      <c r="H245" t="s">
        <v>21</v>
      </c>
      <c r="I245" s="11">
        <v>0</v>
      </c>
      <c r="J245" s="11">
        <v>2000000</v>
      </c>
    </row>
    <row r="246" spans="1:10" hidden="1" x14ac:dyDescent="0.3">
      <c r="A246" s="10">
        <v>46027</v>
      </c>
      <c r="B246" t="s">
        <v>19</v>
      </c>
      <c r="C246" t="str">
        <f t="shared" si="12"/>
        <v>342856178246</v>
      </c>
      <c r="D246" t="str">
        <f t="shared" si="13"/>
        <v>3798512613246</v>
      </c>
      <c r="E246" t="str">
        <f t="shared" si="14"/>
        <v>Client246</v>
      </c>
      <c r="F246" t="str">
        <f t="shared" si="15"/>
        <v>BOB246</v>
      </c>
      <c r="G246" t="s">
        <v>20</v>
      </c>
      <c r="H246" t="s">
        <v>21</v>
      </c>
      <c r="I246" s="11">
        <v>0</v>
      </c>
      <c r="J246" s="11">
        <v>1040000</v>
      </c>
    </row>
    <row r="247" spans="1:10" hidden="1" x14ac:dyDescent="0.3">
      <c r="A247" s="10">
        <v>46027</v>
      </c>
      <c r="B247" t="s">
        <v>19</v>
      </c>
      <c r="C247" t="str">
        <f t="shared" si="12"/>
        <v>342856178247</v>
      </c>
      <c r="D247" t="str">
        <f t="shared" si="13"/>
        <v>3798512613247</v>
      </c>
      <c r="E247" t="str">
        <f t="shared" si="14"/>
        <v>Client247</v>
      </c>
      <c r="F247" t="str">
        <f t="shared" si="15"/>
        <v>BOB247</v>
      </c>
      <c r="G247" t="s">
        <v>20</v>
      </c>
      <c r="H247" t="s">
        <v>21</v>
      </c>
      <c r="I247" s="11">
        <v>0</v>
      </c>
      <c r="J247" s="11">
        <v>300000</v>
      </c>
    </row>
    <row r="248" spans="1:10" hidden="1" x14ac:dyDescent="0.3">
      <c r="A248" s="10">
        <v>46027</v>
      </c>
      <c r="B248" t="s">
        <v>19</v>
      </c>
      <c r="C248" t="str">
        <f t="shared" si="12"/>
        <v>342856178248</v>
      </c>
      <c r="D248" t="str">
        <f t="shared" si="13"/>
        <v>3798512613248</v>
      </c>
      <c r="E248" t="str">
        <f t="shared" si="14"/>
        <v>Client248</v>
      </c>
      <c r="F248" t="str">
        <f t="shared" si="15"/>
        <v>BOB248</v>
      </c>
      <c r="G248" t="s">
        <v>20</v>
      </c>
      <c r="H248" t="s">
        <v>21</v>
      </c>
      <c r="I248" s="11">
        <v>0</v>
      </c>
      <c r="J248" s="11">
        <v>160000</v>
      </c>
    </row>
    <row r="249" spans="1:10" hidden="1" x14ac:dyDescent="0.3">
      <c r="A249" s="10">
        <v>46027</v>
      </c>
      <c r="B249" t="s">
        <v>19</v>
      </c>
      <c r="C249" t="str">
        <f t="shared" si="12"/>
        <v>342856178249</v>
      </c>
      <c r="D249" t="str">
        <f t="shared" si="13"/>
        <v>3798512613249</v>
      </c>
      <c r="E249" t="str">
        <f t="shared" si="14"/>
        <v>Client249</v>
      </c>
      <c r="F249" t="str">
        <f t="shared" si="15"/>
        <v>BOB249</v>
      </c>
      <c r="G249" t="s">
        <v>25</v>
      </c>
      <c r="H249" t="s">
        <v>21</v>
      </c>
      <c r="I249" s="11">
        <v>0</v>
      </c>
      <c r="J249" s="11">
        <v>300000</v>
      </c>
    </row>
    <row r="250" spans="1:10" hidden="1" x14ac:dyDescent="0.3">
      <c r="A250" s="10">
        <v>46027</v>
      </c>
      <c r="B250" t="s">
        <v>19</v>
      </c>
      <c r="C250" t="str">
        <f t="shared" si="12"/>
        <v>342856178250</v>
      </c>
      <c r="D250" t="str">
        <f t="shared" si="13"/>
        <v>3798512613250</v>
      </c>
      <c r="E250" t="str">
        <f t="shared" si="14"/>
        <v>Client250</v>
      </c>
      <c r="F250" t="str">
        <f t="shared" si="15"/>
        <v>BOB250</v>
      </c>
      <c r="G250" t="s">
        <v>25</v>
      </c>
      <c r="H250" t="s">
        <v>21</v>
      </c>
      <c r="I250" s="11">
        <v>0</v>
      </c>
      <c r="J250" s="11">
        <v>200000</v>
      </c>
    </row>
    <row r="251" spans="1:10" hidden="1" x14ac:dyDescent="0.3">
      <c r="A251" s="10">
        <v>46027</v>
      </c>
      <c r="B251" t="s">
        <v>19</v>
      </c>
      <c r="C251" t="str">
        <f t="shared" si="12"/>
        <v>342856178251</v>
      </c>
      <c r="D251" t="str">
        <f t="shared" si="13"/>
        <v>3798512613251</v>
      </c>
      <c r="E251" t="str">
        <f t="shared" si="14"/>
        <v>Client251</v>
      </c>
      <c r="F251" t="str">
        <f t="shared" si="15"/>
        <v>BOB251</v>
      </c>
      <c r="G251" t="s">
        <v>25</v>
      </c>
      <c r="H251" t="s">
        <v>21</v>
      </c>
      <c r="I251" s="11">
        <v>0</v>
      </c>
      <c r="J251" s="11">
        <v>2100000</v>
      </c>
    </row>
    <row r="252" spans="1:10" hidden="1" x14ac:dyDescent="0.3">
      <c r="A252" s="10">
        <v>46027</v>
      </c>
      <c r="B252" t="s">
        <v>19</v>
      </c>
      <c r="C252" t="str">
        <f t="shared" si="12"/>
        <v>342856178252</v>
      </c>
      <c r="D252" t="str">
        <f t="shared" si="13"/>
        <v>3798512613252</v>
      </c>
      <c r="E252" t="str">
        <f t="shared" si="14"/>
        <v>Client252</v>
      </c>
      <c r="F252" t="str">
        <f t="shared" si="15"/>
        <v>BOB252</v>
      </c>
      <c r="G252" t="s">
        <v>25</v>
      </c>
      <c r="H252" t="s">
        <v>21</v>
      </c>
      <c r="I252" s="11">
        <v>0</v>
      </c>
      <c r="J252" s="11">
        <v>1110000</v>
      </c>
    </row>
    <row r="253" spans="1:10" hidden="1" x14ac:dyDescent="0.3">
      <c r="A253" s="10">
        <v>46027</v>
      </c>
      <c r="B253" t="s">
        <v>19</v>
      </c>
      <c r="C253" t="str">
        <f t="shared" si="12"/>
        <v>342856178253</v>
      </c>
      <c r="D253" t="str">
        <f t="shared" si="13"/>
        <v>3798512613253</v>
      </c>
      <c r="E253" t="str">
        <f t="shared" si="14"/>
        <v>Client253</v>
      </c>
      <c r="F253" t="str">
        <f t="shared" si="15"/>
        <v>BOB253</v>
      </c>
      <c r="G253" t="s">
        <v>25</v>
      </c>
      <c r="H253" t="s">
        <v>21</v>
      </c>
      <c r="I253" s="11">
        <v>0</v>
      </c>
      <c r="J253" s="11">
        <v>1271500</v>
      </c>
    </row>
    <row r="254" spans="1:10" hidden="1" x14ac:dyDescent="0.3">
      <c r="A254" s="10">
        <v>46027</v>
      </c>
      <c r="B254" t="s">
        <v>19</v>
      </c>
      <c r="C254" t="str">
        <f t="shared" si="12"/>
        <v>342856178254</v>
      </c>
      <c r="D254" t="str">
        <f t="shared" si="13"/>
        <v>3798512613254</v>
      </c>
      <c r="E254" t="str">
        <f t="shared" si="14"/>
        <v>Client254</v>
      </c>
      <c r="F254" t="str">
        <f t="shared" si="15"/>
        <v>BOB254</v>
      </c>
      <c r="G254" t="s">
        <v>25</v>
      </c>
      <c r="H254" t="s">
        <v>21</v>
      </c>
      <c r="I254" s="11">
        <v>0</v>
      </c>
      <c r="J254" s="11">
        <v>6600000</v>
      </c>
    </row>
    <row r="255" spans="1:10" hidden="1" x14ac:dyDescent="0.3">
      <c r="A255" s="10">
        <v>46027</v>
      </c>
      <c r="B255" t="s">
        <v>19</v>
      </c>
      <c r="C255" t="str">
        <f t="shared" si="12"/>
        <v>342856178255</v>
      </c>
      <c r="D255" t="str">
        <f t="shared" si="13"/>
        <v>3798512613255</v>
      </c>
      <c r="E255" t="str">
        <f t="shared" si="14"/>
        <v>Client255</v>
      </c>
      <c r="F255" t="str">
        <f t="shared" si="15"/>
        <v>BOB255</v>
      </c>
      <c r="G255" t="s">
        <v>25</v>
      </c>
      <c r="H255" t="s">
        <v>21</v>
      </c>
      <c r="I255" s="11">
        <v>0</v>
      </c>
      <c r="J255" s="11">
        <v>1500000</v>
      </c>
    </row>
    <row r="256" spans="1:10" hidden="1" x14ac:dyDescent="0.3">
      <c r="A256" s="10">
        <v>46027</v>
      </c>
      <c r="B256" t="s">
        <v>19</v>
      </c>
      <c r="C256" t="str">
        <f t="shared" si="12"/>
        <v>342856178256</v>
      </c>
      <c r="D256" t="str">
        <f t="shared" si="13"/>
        <v>3798512613256</v>
      </c>
      <c r="E256" t="str">
        <f t="shared" si="14"/>
        <v>Client256</v>
      </c>
      <c r="F256" t="str">
        <f t="shared" si="15"/>
        <v>BOB256</v>
      </c>
      <c r="G256" t="s">
        <v>25</v>
      </c>
      <c r="H256" t="s">
        <v>21</v>
      </c>
      <c r="I256" s="11">
        <v>0</v>
      </c>
      <c r="J256" s="11">
        <v>2311000</v>
      </c>
    </row>
    <row r="257" spans="1:10" hidden="1" x14ac:dyDescent="0.3">
      <c r="A257" s="10">
        <v>46027</v>
      </c>
      <c r="B257" t="s">
        <v>19</v>
      </c>
      <c r="C257" t="str">
        <f t="shared" si="12"/>
        <v>342856178257</v>
      </c>
      <c r="D257" t="str">
        <f t="shared" si="13"/>
        <v>3798512613257</v>
      </c>
      <c r="E257" t="str">
        <f t="shared" si="14"/>
        <v>Client257</v>
      </c>
      <c r="F257" t="str">
        <f t="shared" si="15"/>
        <v>BOB257</v>
      </c>
      <c r="G257" t="s">
        <v>25</v>
      </c>
      <c r="H257" t="s">
        <v>21</v>
      </c>
      <c r="I257" s="11">
        <v>0</v>
      </c>
      <c r="J257" s="11">
        <v>720000</v>
      </c>
    </row>
    <row r="258" spans="1:10" hidden="1" x14ac:dyDescent="0.3">
      <c r="A258" s="10">
        <v>46027</v>
      </c>
      <c r="B258" t="s">
        <v>19</v>
      </c>
      <c r="C258" t="str">
        <f t="shared" ref="C258:C321" si="16" xml:space="preserve"> "342856178" &amp; ROW()</f>
        <v>342856178258</v>
      </c>
      <c r="D258" t="str">
        <f t="shared" ref="D258:D321" si="17" xml:space="preserve"> "3798512613" &amp; ROW()</f>
        <v>3798512613258</v>
      </c>
      <c r="E258" t="str">
        <f t="shared" ref="E258:E321" si="18">"Client"&amp;ROW()</f>
        <v>Client258</v>
      </c>
      <c r="F258" t="str">
        <f t="shared" ref="F258:F321" si="19">"BOB"&amp;ROW()</f>
        <v>BOB258</v>
      </c>
      <c r="G258" t="s">
        <v>25</v>
      </c>
      <c r="H258" t="s">
        <v>21</v>
      </c>
      <c r="I258" s="11">
        <v>0</v>
      </c>
      <c r="J258" s="11">
        <v>1860000</v>
      </c>
    </row>
    <row r="259" spans="1:10" x14ac:dyDescent="0.3">
      <c r="A259" s="10">
        <v>46027</v>
      </c>
      <c r="B259" t="s">
        <v>19</v>
      </c>
      <c r="C259" t="str">
        <f t="shared" si="16"/>
        <v>342856178259</v>
      </c>
      <c r="D259" t="str">
        <f t="shared" si="17"/>
        <v>3798512613259</v>
      </c>
      <c r="E259" t="str">
        <f t="shared" si="18"/>
        <v>Client259</v>
      </c>
      <c r="F259" t="str">
        <f t="shared" si="19"/>
        <v>BOB259</v>
      </c>
      <c r="G259" t="s">
        <v>24</v>
      </c>
      <c r="H259" t="s">
        <v>21</v>
      </c>
      <c r="I259" s="11">
        <v>0</v>
      </c>
      <c r="J259" s="11">
        <v>14042200</v>
      </c>
    </row>
    <row r="260" spans="1:10" x14ac:dyDescent="0.3">
      <c r="A260" s="10">
        <v>46027</v>
      </c>
      <c r="B260" t="s">
        <v>19</v>
      </c>
      <c r="C260" t="str">
        <f t="shared" si="16"/>
        <v>342856178260</v>
      </c>
      <c r="D260" t="str">
        <f t="shared" si="17"/>
        <v>3798512613260</v>
      </c>
      <c r="E260" t="str">
        <f t="shared" si="18"/>
        <v>Client260</v>
      </c>
      <c r="F260" t="str">
        <f t="shared" si="19"/>
        <v>BOB260</v>
      </c>
      <c r="G260" t="s">
        <v>24</v>
      </c>
      <c r="H260" t="s">
        <v>21</v>
      </c>
      <c r="I260" s="11">
        <v>0</v>
      </c>
      <c r="J260" s="11">
        <v>1000000</v>
      </c>
    </row>
    <row r="261" spans="1:10" x14ac:dyDescent="0.3">
      <c r="A261" s="10">
        <v>46027</v>
      </c>
      <c r="B261" t="s">
        <v>19</v>
      </c>
      <c r="C261" t="str">
        <f t="shared" si="16"/>
        <v>342856178261</v>
      </c>
      <c r="D261" t="str">
        <f t="shared" si="17"/>
        <v>3798512613261</v>
      </c>
      <c r="E261" t="str">
        <f t="shared" si="18"/>
        <v>Client261</v>
      </c>
      <c r="F261" t="str">
        <f t="shared" si="19"/>
        <v>BOB261</v>
      </c>
      <c r="G261" t="s">
        <v>24</v>
      </c>
      <c r="H261" t="s">
        <v>21</v>
      </c>
      <c r="I261" s="11">
        <v>0</v>
      </c>
      <c r="J261" s="11">
        <v>2200000</v>
      </c>
    </row>
    <row r="262" spans="1:10" x14ac:dyDescent="0.3">
      <c r="A262" s="10">
        <v>46027</v>
      </c>
      <c r="B262" t="s">
        <v>19</v>
      </c>
      <c r="C262" t="str">
        <f t="shared" si="16"/>
        <v>342856178262</v>
      </c>
      <c r="D262" t="str">
        <f t="shared" si="17"/>
        <v>3798512613262</v>
      </c>
      <c r="E262" t="str">
        <f t="shared" si="18"/>
        <v>Client262</v>
      </c>
      <c r="F262" t="str">
        <f t="shared" si="19"/>
        <v>BOB262</v>
      </c>
      <c r="G262" t="s">
        <v>24</v>
      </c>
      <c r="H262" t="s">
        <v>21</v>
      </c>
      <c r="I262" s="11">
        <v>0</v>
      </c>
      <c r="J262" s="11">
        <v>200000</v>
      </c>
    </row>
    <row r="263" spans="1:10" x14ac:dyDescent="0.3">
      <c r="A263" s="10">
        <v>46027</v>
      </c>
      <c r="B263" t="s">
        <v>19</v>
      </c>
      <c r="C263" t="str">
        <f t="shared" si="16"/>
        <v>342856178263</v>
      </c>
      <c r="D263" t="str">
        <f t="shared" si="17"/>
        <v>3798512613263</v>
      </c>
      <c r="E263" t="str">
        <f t="shared" si="18"/>
        <v>Client263</v>
      </c>
      <c r="F263" t="str">
        <f t="shared" si="19"/>
        <v>BOB263</v>
      </c>
      <c r="G263" t="s">
        <v>24</v>
      </c>
      <c r="H263" t="s">
        <v>21</v>
      </c>
      <c r="I263" s="11">
        <v>0</v>
      </c>
      <c r="J263" s="11">
        <v>163200</v>
      </c>
    </row>
    <row r="264" spans="1:10" x14ac:dyDescent="0.3">
      <c r="A264" s="10">
        <v>46027</v>
      </c>
      <c r="B264" t="s">
        <v>19</v>
      </c>
      <c r="C264" t="str">
        <f t="shared" si="16"/>
        <v>342856178264</v>
      </c>
      <c r="D264" t="str">
        <f t="shared" si="17"/>
        <v>3798512613264</v>
      </c>
      <c r="E264" t="str">
        <f t="shared" si="18"/>
        <v>Client264</v>
      </c>
      <c r="F264" t="str">
        <f t="shared" si="19"/>
        <v>BOB264</v>
      </c>
      <c r="G264" t="s">
        <v>24</v>
      </c>
      <c r="H264" t="s">
        <v>21</v>
      </c>
      <c r="I264" s="11">
        <v>0</v>
      </c>
      <c r="J264" s="11">
        <v>15000000</v>
      </c>
    </row>
    <row r="265" spans="1:10" x14ac:dyDescent="0.3">
      <c r="A265" s="10">
        <v>46027</v>
      </c>
      <c r="B265" t="s">
        <v>19</v>
      </c>
      <c r="C265" t="str">
        <f t="shared" si="16"/>
        <v>342856178265</v>
      </c>
      <c r="D265" t="str">
        <f t="shared" si="17"/>
        <v>3798512613265</v>
      </c>
      <c r="E265" t="str">
        <f t="shared" si="18"/>
        <v>Client265</v>
      </c>
      <c r="F265" t="str">
        <f t="shared" si="19"/>
        <v>BOB265</v>
      </c>
      <c r="G265" t="s">
        <v>24</v>
      </c>
      <c r="H265" t="s">
        <v>21</v>
      </c>
      <c r="I265" s="11">
        <v>0</v>
      </c>
      <c r="J265" s="11">
        <v>316800</v>
      </c>
    </row>
    <row r="266" spans="1:10" x14ac:dyDescent="0.3">
      <c r="A266" s="10">
        <v>46027</v>
      </c>
      <c r="B266" t="s">
        <v>19</v>
      </c>
      <c r="C266" t="str">
        <f t="shared" si="16"/>
        <v>342856178266</v>
      </c>
      <c r="D266" t="str">
        <f t="shared" si="17"/>
        <v>3798512613266</v>
      </c>
      <c r="E266" t="str">
        <f t="shared" si="18"/>
        <v>Client266</v>
      </c>
      <c r="F266" t="str">
        <f t="shared" si="19"/>
        <v>BOB266</v>
      </c>
      <c r="G266" t="s">
        <v>24</v>
      </c>
      <c r="H266" t="s">
        <v>21</v>
      </c>
      <c r="I266" s="11">
        <v>0</v>
      </c>
      <c r="J266" s="11">
        <v>15345600</v>
      </c>
    </row>
    <row r="267" spans="1:10" x14ac:dyDescent="0.3">
      <c r="A267" s="10">
        <v>46027</v>
      </c>
      <c r="B267" t="s">
        <v>19</v>
      </c>
      <c r="C267" t="str">
        <f t="shared" si="16"/>
        <v>342856178267</v>
      </c>
      <c r="D267" t="str">
        <f t="shared" si="17"/>
        <v>3798512613267</v>
      </c>
      <c r="E267" t="str">
        <f t="shared" si="18"/>
        <v>Client267</v>
      </c>
      <c r="F267" t="str">
        <f t="shared" si="19"/>
        <v>BOB267</v>
      </c>
      <c r="G267" t="s">
        <v>24</v>
      </c>
      <c r="H267" t="s">
        <v>21</v>
      </c>
      <c r="I267" s="11">
        <v>0</v>
      </c>
      <c r="J267" s="11">
        <v>10800000</v>
      </c>
    </row>
    <row r="268" spans="1:10" x14ac:dyDescent="0.3">
      <c r="A268" s="10">
        <v>46027</v>
      </c>
      <c r="B268" t="s">
        <v>19</v>
      </c>
      <c r="C268" t="str">
        <f t="shared" si="16"/>
        <v>342856178268</v>
      </c>
      <c r="D268" t="str">
        <f t="shared" si="17"/>
        <v>3798512613268</v>
      </c>
      <c r="E268" t="str">
        <f t="shared" si="18"/>
        <v>Client268</v>
      </c>
      <c r="F268" t="str">
        <f t="shared" si="19"/>
        <v>BOB268</v>
      </c>
      <c r="G268" t="s">
        <v>24</v>
      </c>
      <c r="H268" t="s">
        <v>21</v>
      </c>
      <c r="I268" s="11">
        <v>0</v>
      </c>
      <c r="J268" s="11">
        <v>307200</v>
      </c>
    </row>
    <row r="269" spans="1:10" x14ac:dyDescent="0.3">
      <c r="A269" s="10">
        <v>46027</v>
      </c>
      <c r="B269" t="s">
        <v>19</v>
      </c>
      <c r="C269" t="str">
        <f t="shared" si="16"/>
        <v>342856178269</v>
      </c>
      <c r="D269" t="str">
        <f t="shared" si="17"/>
        <v>3798512613269</v>
      </c>
      <c r="E269" t="str">
        <f t="shared" si="18"/>
        <v>Client269</v>
      </c>
      <c r="F269" t="str">
        <f t="shared" si="19"/>
        <v>BOB269</v>
      </c>
      <c r="G269" t="s">
        <v>24</v>
      </c>
      <c r="H269" t="s">
        <v>21</v>
      </c>
      <c r="I269" s="11">
        <v>0</v>
      </c>
      <c r="J269" s="11">
        <v>3004500</v>
      </c>
    </row>
    <row r="270" spans="1:10" x14ac:dyDescent="0.3">
      <c r="A270" s="10">
        <v>46027</v>
      </c>
      <c r="B270" t="s">
        <v>19</v>
      </c>
      <c r="C270" t="str">
        <f t="shared" si="16"/>
        <v>342856178270</v>
      </c>
      <c r="D270" t="str">
        <f t="shared" si="17"/>
        <v>3798512613270</v>
      </c>
      <c r="E270" t="str">
        <f t="shared" si="18"/>
        <v>Client270</v>
      </c>
      <c r="F270" t="str">
        <f t="shared" si="19"/>
        <v>BOB270</v>
      </c>
      <c r="G270" t="s">
        <v>24</v>
      </c>
      <c r="H270" t="s">
        <v>21</v>
      </c>
      <c r="I270" s="11">
        <v>0</v>
      </c>
      <c r="J270" s="11">
        <v>3600000</v>
      </c>
    </row>
    <row r="271" spans="1:10" x14ac:dyDescent="0.3">
      <c r="A271" s="10">
        <v>46027</v>
      </c>
      <c r="B271" t="s">
        <v>19</v>
      </c>
      <c r="C271" t="str">
        <f t="shared" si="16"/>
        <v>342856178271</v>
      </c>
      <c r="D271" t="str">
        <f t="shared" si="17"/>
        <v>3798512613271</v>
      </c>
      <c r="E271" t="str">
        <f t="shared" si="18"/>
        <v>Client271</v>
      </c>
      <c r="F271" t="str">
        <f t="shared" si="19"/>
        <v>BOB271</v>
      </c>
      <c r="G271" t="s">
        <v>24</v>
      </c>
      <c r="H271" t="s">
        <v>21</v>
      </c>
      <c r="I271" s="11">
        <v>0</v>
      </c>
      <c r="J271" s="11">
        <v>1393500</v>
      </c>
    </row>
    <row r="272" spans="1:10" x14ac:dyDescent="0.3">
      <c r="A272" s="10">
        <v>46027</v>
      </c>
      <c r="B272" t="s">
        <v>19</v>
      </c>
      <c r="C272" t="str">
        <f t="shared" si="16"/>
        <v>342856178272</v>
      </c>
      <c r="D272" t="str">
        <f t="shared" si="17"/>
        <v>3798512613272</v>
      </c>
      <c r="E272" t="str">
        <f t="shared" si="18"/>
        <v>Client272</v>
      </c>
      <c r="F272" t="str">
        <f t="shared" si="19"/>
        <v>BOB272</v>
      </c>
      <c r="G272" t="s">
        <v>24</v>
      </c>
      <c r="H272" t="s">
        <v>21</v>
      </c>
      <c r="I272" s="11">
        <v>0</v>
      </c>
      <c r="J272" s="11">
        <v>500000</v>
      </c>
    </row>
    <row r="273" spans="1:10" x14ac:dyDescent="0.3">
      <c r="A273" s="10">
        <v>46027</v>
      </c>
      <c r="B273" t="s">
        <v>19</v>
      </c>
      <c r="C273" t="str">
        <f t="shared" si="16"/>
        <v>342856178273</v>
      </c>
      <c r="D273" t="str">
        <f t="shared" si="17"/>
        <v>3798512613273</v>
      </c>
      <c r="E273" t="str">
        <f t="shared" si="18"/>
        <v>Client273</v>
      </c>
      <c r="F273" t="str">
        <f t="shared" si="19"/>
        <v>BOB273</v>
      </c>
      <c r="G273" t="s">
        <v>24</v>
      </c>
      <c r="H273" t="s">
        <v>21</v>
      </c>
      <c r="I273" s="11">
        <v>0</v>
      </c>
      <c r="J273" s="11">
        <v>902800</v>
      </c>
    </row>
    <row r="274" spans="1:10" x14ac:dyDescent="0.3">
      <c r="A274" s="10">
        <v>46027</v>
      </c>
      <c r="B274" t="s">
        <v>19</v>
      </c>
      <c r="C274" t="str">
        <f t="shared" si="16"/>
        <v>342856178274</v>
      </c>
      <c r="D274" t="str">
        <f t="shared" si="17"/>
        <v>3798512613274</v>
      </c>
      <c r="E274" t="str">
        <f t="shared" si="18"/>
        <v>Client274</v>
      </c>
      <c r="F274" t="str">
        <f t="shared" si="19"/>
        <v>BOB274</v>
      </c>
      <c r="G274" t="s">
        <v>24</v>
      </c>
      <c r="H274" t="s">
        <v>21</v>
      </c>
      <c r="I274" s="11">
        <v>0</v>
      </c>
      <c r="J274" s="11">
        <v>6662000</v>
      </c>
    </row>
    <row r="275" spans="1:10" x14ac:dyDescent="0.3">
      <c r="A275" s="10">
        <v>46027</v>
      </c>
      <c r="B275" t="s">
        <v>19</v>
      </c>
      <c r="C275" t="str">
        <f t="shared" si="16"/>
        <v>342856178275</v>
      </c>
      <c r="D275" t="str">
        <f t="shared" si="17"/>
        <v>3798512613275</v>
      </c>
      <c r="E275" t="str">
        <f t="shared" si="18"/>
        <v>Client275</v>
      </c>
      <c r="F275" t="str">
        <f t="shared" si="19"/>
        <v>BOB275</v>
      </c>
      <c r="G275" t="s">
        <v>24</v>
      </c>
      <c r="H275" t="s">
        <v>21</v>
      </c>
      <c r="I275" s="11">
        <v>0</v>
      </c>
      <c r="J275" s="11">
        <v>403200</v>
      </c>
    </row>
    <row r="276" spans="1:10" x14ac:dyDescent="0.3">
      <c r="A276" s="10">
        <v>46027</v>
      </c>
      <c r="B276" t="s">
        <v>19</v>
      </c>
      <c r="C276" t="str">
        <f t="shared" si="16"/>
        <v>342856178276</v>
      </c>
      <c r="D276" t="str">
        <f t="shared" si="17"/>
        <v>3798512613276</v>
      </c>
      <c r="E276" t="str">
        <f t="shared" si="18"/>
        <v>Client276</v>
      </c>
      <c r="F276" t="str">
        <f t="shared" si="19"/>
        <v>BOB276</v>
      </c>
      <c r="G276" t="s">
        <v>24</v>
      </c>
      <c r="H276" t="s">
        <v>21</v>
      </c>
      <c r="I276" s="11">
        <v>0</v>
      </c>
      <c r="J276" s="11">
        <v>630000</v>
      </c>
    </row>
    <row r="277" spans="1:10" x14ac:dyDescent="0.3">
      <c r="A277" s="10">
        <v>46027</v>
      </c>
      <c r="B277" t="s">
        <v>19</v>
      </c>
      <c r="C277" t="str">
        <f t="shared" si="16"/>
        <v>342856178277</v>
      </c>
      <c r="D277" t="str">
        <f t="shared" si="17"/>
        <v>3798512613277</v>
      </c>
      <c r="E277" t="str">
        <f t="shared" si="18"/>
        <v>Client277</v>
      </c>
      <c r="F277" t="str">
        <f t="shared" si="19"/>
        <v>BOB277</v>
      </c>
      <c r="G277" t="s">
        <v>24</v>
      </c>
      <c r="H277" t="s">
        <v>21</v>
      </c>
      <c r="I277" s="11">
        <v>0</v>
      </c>
      <c r="J277" s="11">
        <v>12500000</v>
      </c>
    </row>
    <row r="278" spans="1:10" hidden="1" x14ac:dyDescent="0.3">
      <c r="A278" s="10">
        <v>46027</v>
      </c>
      <c r="B278" t="s">
        <v>19</v>
      </c>
      <c r="C278" t="str">
        <f t="shared" si="16"/>
        <v>342856178278</v>
      </c>
      <c r="D278" t="str">
        <f t="shared" si="17"/>
        <v>3798512613278</v>
      </c>
      <c r="E278" t="str">
        <f t="shared" si="18"/>
        <v>Client278</v>
      </c>
      <c r="F278" t="str">
        <f t="shared" si="19"/>
        <v>BOB278</v>
      </c>
      <c r="G278" t="s">
        <v>20</v>
      </c>
      <c r="H278" t="s">
        <v>21</v>
      </c>
      <c r="I278" s="11">
        <v>0</v>
      </c>
      <c r="J278" s="11">
        <v>1001500</v>
      </c>
    </row>
    <row r="279" spans="1:10" hidden="1" x14ac:dyDescent="0.3">
      <c r="A279" s="10">
        <v>46027</v>
      </c>
      <c r="B279" t="s">
        <v>19</v>
      </c>
      <c r="C279" t="str">
        <f t="shared" si="16"/>
        <v>342856178279</v>
      </c>
      <c r="D279" t="str">
        <f t="shared" si="17"/>
        <v>3798512613279</v>
      </c>
      <c r="E279" t="str">
        <f t="shared" si="18"/>
        <v>Client279</v>
      </c>
      <c r="F279" t="str">
        <f t="shared" si="19"/>
        <v>BOB279</v>
      </c>
      <c r="G279" t="s">
        <v>20</v>
      </c>
      <c r="H279" t="s">
        <v>21</v>
      </c>
      <c r="I279" s="11">
        <v>0</v>
      </c>
      <c r="J279" s="11">
        <v>2003000</v>
      </c>
    </row>
    <row r="280" spans="1:10" hidden="1" x14ac:dyDescent="0.3">
      <c r="A280" s="10">
        <v>46027</v>
      </c>
      <c r="B280" t="s">
        <v>19</v>
      </c>
      <c r="C280" t="str">
        <f t="shared" si="16"/>
        <v>342856178280</v>
      </c>
      <c r="D280" t="str">
        <f t="shared" si="17"/>
        <v>3798512613280</v>
      </c>
      <c r="E280" t="str">
        <f t="shared" si="18"/>
        <v>Client280</v>
      </c>
      <c r="F280" t="str">
        <f t="shared" si="19"/>
        <v>BOB280</v>
      </c>
      <c r="G280" t="s">
        <v>20</v>
      </c>
      <c r="H280" t="s">
        <v>21</v>
      </c>
      <c r="I280" s="11">
        <v>0</v>
      </c>
      <c r="J280" s="11">
        <v>1001500</v>
      </c>
    </row>
    <row r="281" spans="1:10" hidden="1" x14ac:dyDescent="0.3">
      <c r="A281" s="10">
        <v>46027</v>
      </c>
      <c r="B281" t="s">
        <v>19</v>
      </c>
      <c r="C281" t="str">
        <f t="shared" si="16"/>
        <v>342856178281</v>
      </c>
      <c r="D281" t="str">
        <f t="shared" si="17"/>
        <v>3798512613281</v>
      </c>
      <c r="E281" t="str">
        <f t="shared" si="18"/>
        <v>Client281</v>
      </c>
      <c r="F281" t="str">
        <f t="shared" si="19"/>
        <v>BOB281</v>
      </c>
      <c r="G281" t="s">
        <v>25</v>
      </c>
      <c r="H281" t="s">
        <v>21</v>
      </c>
      <c r="I281" s="11">
        <v>0</v>
      </c>
      <c r="J281" s="11">
        <v>2000000</v>
      </c>
    </row>
    <row r="282" spans="1:10" hidden="1" x14ac:dyDescent="0.3">
      <c r="A282" s="10">
        <v>46027</v>
      </c>
      <c r="B282" t="s">
        <v>19</v>
      </c>
      <c r="C282" t="str">
        <f t="shared" si="16"/>
        <v>342856178282</v>
      </c>
      <c r="D282" t="str">
        <f t="shared" si="17"/>
        <v>3798512613282</v>
      </c>
      <c r="E282" t="str">
        <f t="shared" si="18"/>
        <v>Client282</v>
      </c>
      <c r="F282" t="str">
        <f t="shared" si="19"/>
        <v>BOB282</v>
      </c>
      <c r="G282" t="s">
        <v>20</v>
      </c>
      <c r="H282" t="s">
        <v>21</v>
      </c>
      <c r="I282" s="11">
        <v>0</v>
      </c>
      <c r="J282" s="11">
        <v>2000000</v>
      </c>
    </row>
    <row r="283" spans="1:10" hidden="1" x14ac:dyDescent="0.3">
      <c r="A283" s="10">
        <v>46027</v>
      </c>
      <c r="B283" t="s">
        <v>19</v>
      </c>
      <c r="C283" t="str">
        <f t="shared" si="16"/>
        <v>342856178283</v>
      </c>
      <c r="D283" t="str">
        <f t="shared" si="17"/>
        <v>3798512613283</v>
      </c>
      <c r="E283" t="str">
        <f t="shared" si="18"/>
        <v>Client283</v>
      </c>
      <c r="F283" t="str">
        <f t="shared" si="19"/>
        <v>BOB283</v>
      </c>
      <c r="G283" t="s">
        <v>20</v>
      </c>
      <c r="H283" t="s">
        <v>21</v>
      </c>
      <c r="I283" s="11">
        <v>0</v>
      </c>
      <c r="J283" s="11">
        <v>17025500</v>
      </c>
    </row>
    <row r="284" spans="1:10" hidden="1" x14ac:dyDescent="0.3">
      <c r="A284" s="10">
        <v>46027</v>
      </c>
      <c r="B284" t="s">
        <v>19</v>
      </c>
      <c r="C284" t="str">
        <f t="shared" si="16"/>
        <v>342856178284</v>
      </c>
      <c r="D284" t="str">
        <f t="shared" si="17"/>
        <v>3798512613284</v>
      </c>
      <c r="E284" t="str">
        <f t="shared" si="18"/>
        <v>Client284</v>
      </c>
      <c r="F284" t="str">
        <f t="shared" si="19"/>
        <v>BOB284</v>
      </c>
      <c r="G284" t="s">
        <v>20</v>
      </c>
      <c r="H284" t="s">
        <v>21</v>
      </c>
      <c r="I284" s="11">
        <v>0</v>
      </c>
      <c r="J284" s="11">
        <v>9445500</v>
      </c>
    </row>
    <row r="285" spans="1:10" hidden="1" x14ac:dyDescent="0.3">
      <c r="A285" s="10">
        <v>46027</v>
      </c>
      <c r="B285" t="s">
        <v>19</v>
      </c>
      <c r="C285" t="str">
        <f t="shared" si="16"/>
        <v>342856178285</v>
      </c>
      <c r="D285" t="str">
        <f t="shared" si="17"/>
        <v>3798512613285</v>
      </c>
      <c r="E285" t="str">
        <f t="shared" si="18"/>
        <v>Client285</v>
      </c>
      <c r="F285" t="str">
        <f t="shared" si="19"/>
        <v>BOB285</v>
      </c>
      <c r="G285" t="s">
        <v>20</v>
      </c>
      <c r="H285" t="s">
        <v>21</v>
      </c>
      <c r="I285" s="11">
        <v>0</v>
      </c>
      <c r="J285" s="11">
        <v>1000000</v>
      </c>
    </row>
    <row r="286" spans="1:10" hidden="1" x14ac:dyDescent="0.3">
      <c r="A286" s="10">
        <v>46027</v>
      </c>
      <c r="B286" t="s">
        <v>19</v>
      </c>
      <c r="C286" t="str">
        <f t="shared" si="16"/>
        <v>342856178286</v>
      </c>
      <c r="D286" t="str">
        <f t="shared" si="17"/>
        <v>3798512613286</v>
      </c>
      <c r="E286" t="str">
        <f t="shared" si="18"/>
        <v>Client286</v>
      </c>
      <c r="F286" t="str">
        <f t="shared" si="19"/>
        <v>BOB286</v>
      </c>
      <c r="G286" t="s">
        <v>20</v>
      </c>
      <c r="H286" t="s">
        <v>21</v>
      </c>
      <c r="I286" s="11">
        <v>0</v>
      </c>
      <c r="J286" s="11">
        <v>3000000</v>
      </c>
    </row>
    <row r="287" spans="1:10" hidden="1" x14ac:dyDescent="0.3">
      <c r="A287" s="10">
        <v>46027</v>
      </c>
      <c r="B287" t="s">
        <v>19</v>
      </c>
      <c r="C287" t="str">
        <f t="shared" si="16"/>
        <v>342856178287</v>
      </c>
      <c r="D287" t="str">
        <f t="shared" si="17"/>
        <v>3798512613287</v>
      </c>
      <c r="E287" t="str">
        <f t="shared" si="18"/>
        <v>Client287</v>
      </c>
      <c r="F287" t="str">
        <f t="shared" si="19"/>
        <v>BOB287</v>
      </c>
      <c r="G287" t="s">
        <v>20</v>
      </c>
      <c r="H287" t="s">
        <v>21</v>
      </c>
      <c r="I287" s="11">
        <v>0</v>
      </c>
      <c r="J287" s="11">
        <v>2000000</v>
      </c>
    </row>
    <row r="288" spans="1:10" hidden="1" x14ac:dyDescent="0.3">
      <c r="A288" s="10">
        <v>46027</v>
      </c>
      <c r="B288" t="s">
        <v>19</v>
      </c>
      <c r="C288" t="str">
        <f t="shared" si="16"/>
        <v>342856178288</v>
      </c>
      <c r="D288" t="str">
        <f t="shared" si="17"/>
        <v>3798512613288</v>
      </c>
      <c r="E288" t="str">
        <f t="shared" si="18"/>
        <v>Client288</v>
      </c>
      <c r="F288" t="str">
        <f t="shared" si="19"/>
        <v>BOB288</v>
      </c>
      <c r="G288" t="s">
        <v>20</v>
      </c>
      <c r="H288" t="s">
        <v>21</v>
      </c>
      <c r="I288" s="11">
        <v>0</v>
      </c>
      <c r="J288" s="11">
        <v>5000000</v>
      </c>
    </row>
    <row r="289" spans="1:10" hidden="1" x14ac:dyDescent="0.3">
      <c r="A289" s="10">
        <v>46027</v>
      </c>
      <c r="B289" t="s">
        <v>19</v>
      </c>
      <c r="C289" t="str">
        <f t="shared" si="16"/>
        <v>342856178289</v>
      </c>
      <c r="D289" t="str">
        <f t="shared" si="17"/>
        <v>3798512613289</v>
      </c>
      <c r="E289" t="str">
        <f t="shared" si="18"/>
        <v>Client289</v>
      </c>
      <c r="F289" t="str">
        <f t="shared" si="19"/>
        <v>BOB289</v>
      </c>
      <c r="G289" t="s">
        <v>20</v>
      </c>
      <c r="H289" t="s">
        <v>21</v>
      </c>
      <c r="I289" s="11">
        <v>0</v>
      </c>
      <c r="J289" s="11">
        <v>240000</v>
      </c>
    </row>
    <row r="290" spans="1:10" hidden="1" x14ac:dyDescent="0.3">
      <c r="A290" s="10">
        <v>46027</v>
      </c>
      <c r="B290" t="s">
        <v>19</v>
      </c>
      <c r="C290" t="str">
        <f t="shared" si="16"/>
        <v>342856178290</v>
      </c>
      <c r="D290" t="str">
        <f t="shared" si="17"/>
        <v>3798512613290</v>
      </c>
      <c r="E290" t="str">
        <f t="shared" si="18"/>
        <v>Client290</v>
      </c>
      <c r="F290" t="str">
        <f t="shared" si="19"/>
        <v>BOB290</v>
      </c>
      <c r="G290" t="s">
        <v>20</v>
      </c>
      <c r="H290" t="s">
        <v>21</v>
      </c>
      <c r="I290" s="11">
        <v>0</v>
      </c>
      <c r="J290" s="11">
        <v>11000000</v>
      </c>
    </row>
    <row r="291" spans="1:10" hidden="1" x14ac:dyDescent="0.3">
      <c r="A291" s="10">
        <v>46027</v>
      </c>
      <c r="B291" t="s">
        <v>19</v>
      </c>
      <c r="C291" t="str">
        <f t="shared" si="16"/>
        <v>342856178291</v>
      </c>
      <c r="D291" t="str">
        <f t="shared" si="17"/>
        <v>3798512613291</v>
      </c>
      <c r="E291" t="str">
        <f t="shared" si="18"/>
        <v>Client291</v>
      </c>
      <c r="F291" t="str">
        <f t="shared" si="19"/>
        <v>BOB291</v>
      </c>
      <c r="G291" t="s">
        <v>20</v>
      </c>
      <c r="H291" t="s">
        <v>21</v>
      </c>
      <c r="I291" s="11">
        <v>0</v>
      </c>
      <c r="J291" s="11">
        <v>2003000</v>
      </c>
    </row>
    <row r="292" spans="1:10" hidden="1" x14ac:dyDescent="0.3">
      <c r="A292" s="10">
        <v>46027</v>
      </c>
      <c r="B292" t="s">
        <v>19</v>
      </c>
      <c r="C292" t="str">
        <f t="shared" si="16"/>
        <v>342856178292</v>
      </c>
      <c r="D292" t="str">
        <f t="shared" si="17"/>
        <v>3798512613292</v>
      </c>
      <c r="E292" t="str">
        <f t="shared" si="18"/>
        <v>Client292</v>
      </c>
      <c r="F292" t="str">
        <f t="shared" si="19"/>
        <v>BOB292</v>
      </c>
      <c r="G292" t="s">
        <v>20</v>
      </c>
      <c r="H292" t="s">
        <v>21</v>
      </c>
      <c r="I292" s="11">
        <v>0</v>
      </c>
      <c r="J292" s="11">
        <v>288000</v>
      </c>
    </row>
    <row r="293" spans="1:10" hidden="1" x14ac:dyDescent="0.3">
      <c r="A293" s="10">
        <v>46027</v>
      </c>
      <c r="B293" t="s">
        <v>19</v>
      </c>
      <c r="C293" t="str">
        <f t="shared" si="16"/>
        <v>342856178293</v>
      </c>
      <c r="D293" t="str">
        <f t="shared" si="17"/>
        <v>3798512613293</v>
      </c>
      <c r="E293" t="str">
        <f t="shared" si="18"/>
        <v>Client293</v>
      </c>
      <c r="F293" t="str">
        <f t="shared" si="19"/>
        <v>BOB293</v>
      </c>
      <c r="G293" t="s">
        <v>20</v>
      </c>
      <c r="H293" t="s">
        <v>21</v>
      </c>
      <c r="I293" s="11">
        <v>0</v>
      </c>
      <c r="J293" s="11">
        <v>3012000</v>
      </c>
    </row>
    <row r="294" spans="1:10" hidden="1" x14ac:dyDescent="0.3">
      <c r="A294" s="10">
        <v>46027</v>
      </c>
      <c r="B294" t="s">
        <v>19</v>
      </c>
      <c r="C294" t="str">
        <f t="shared" si="16"/>
        <v>342856178294</v>
      </c>
      <c r="D294" t="str">
        <f t="shared" si="17"/>
        <v>3798512613294</v>
      </c>
      <c r="E294" t="str">
        <f t="shared" si="18"/>
        <v>Client294</v>
      </c>
      <c r="F294" t="str">
        <f t="shared" si="19"/>
        <v>BOB294</v>
      </c>
      <c r="I294" s="11">
        <v>0</v>
      </c>
      <c r="J294" s="11">
        <v>3000000</v>
      </c>
    </row>
    <row r="295" spans="1:10" x14ac:dyDescent="0.3">
      <c r="A295" s="10">
        <v>46027</v>
      </c>
      <c r="B295" t="s">
        <v>19</v>
      </c>
      <c r="C295" t="str">
        <f t="shared" si="16"/>
        <v>342856178295</v>
      </c>
      <c r="D295" t="str">
        <f t="shared" si="17"/>
        <v>3798512613295</v>
      </c>
      <c r="E295" t="str">
        <f t="shared" si="18"/>
        <v>Client295</v>
      </c>
      <c r="F295" t="str">
        <f t="shared" si="19"/>
        <v>BOB295</v>
      </c>
      <c r="G295" t="s">
        <v>24</v>
      </c>
      <c r="H295" t="s">
        <v>21</v>
      </c>
      <c r="I295" s="11">
        <v>0</v>
      </c>
      <c r="J295" s="11">
        <v>1501500</v>
      </c>
    </row>
    <row r="296" spans="1:10" x14ac:dyDescent="0.3">
      <c r="A296" s="10">
        <v>46027</v>
      </c>
      <c r="B296" t="s">
        <v>19</v>
      </c>
      <c r="C296" t="str">
        <f t="shared" si="16"/>
        <v>342856178296</v>
      </c>
      <c r="D296" t="str">
        <f t="shared" si="17"/>
        <v>3798512613296</v>
      </c>
      <c r="E296" t="str">
        <f t="shared" si="18"/>
        <v>Client296</v>
      </c>
      <c r="F296" t="str">
        <f t="shared" si="19"/>
        <v>BOB296</v>
      </c>
      <c r="G296" t="s">
        <v>24</v>
      </c>
      <c r="H296" t="s">
        <v>21</v>
      </c>
      <c r="I296" s="11">
        <v>0</v>
      </c>
      <c r="J296" s="11">
        <v>3000000</v>
      </c>
    </row>
    <row r="297" spans="1:10" x14ac:dyDescent="0.3">
      <c r="A297" s="10">
        <v>46027</v>
      </c>
      <c r="B297" t="s">
        <v>19</v>
      </c>
      <c r="C297" t="str">
        <f t="shared" si="16"/>
        <v>342856178297</v>
      </c>
      <c r="D297" t="str">
        <f t="shared" si="17"/>
        <v>3798512613297</v>
      </c>
      <c r="E297" t="str">
        <f t="shared" si="18"/>
        <v>Client297</v>
      </c>
      <c r="F297" t="str">
        <f t="shared" si="19"/>
        <v>BOB297</v>
      </c>
      <c r="G297" t="s">
        <v>24</v>
      </c>
      <c r="H297" t="s">
        <v>21</v>
      </c>
      <c r="I297" s="11">
        <v>0</v>
      </c>
      <c r="J297" s="11">
        <v>1001500</v>
      </c>
    </row>
    <row r="298" spans="1:10" x14ac:dyDescent="0.3">
      <c r="A298" s="10">
        <v>46027</v>
      </c>
      <c r="B298" t="s">
        <v>19</v>
      </c>
      <c r="C298" t="str">
        <f t="shared" si="16"/>
        <v>342856178298</v>
      </c>
      <c r="D298" t="str">
        <f t="shared" si="17"/>
        <v>3798512613298</v>
      </c>
      <c r="E298" t="str">
        <f t="shared" si="18"/>
        <v>Client298</v>
      </c>
      <c r="F298" t="str">
        <f t="shared" si="19"/>
        <v>BOB298</v>
      </c>
      <c r="G298" t="s">
        <v>24</v>
      </c>
      <c r="H298" t="s">
        <v>21</v>
      </c>
      <c r="I298" s="11">
        <v>0</v>
      </c>
      <c r="J298" s="11">
        <v>2000000</v>
      </c>
    </row>
    <row r="299" spans="1:10" x14ac:dyDescent="0.3">
      <c r="A299" s="10">
        <v>46027</v>
      </c>
      <c r="B299" t="s">
        <v>19</v>
      </c>
      <c r="C299" t="str">
        <f t="shared" si="16"/>
        <v>342856178299</v>
      </c>
      <c r="D299" t="str">
        <f t="shared" si="17"/>
        <v>3798512613299</v>
      </c>
      <c r="E299" t="str">
        <f t="shared" si="18"/>
        <v>Client299</v>
      </c>
      <c r="F299" t="str">
        <f t="shared" si="19"/>
        <v>BOB299</v>
      </c>
      <c r="G299" t="s">
        <v>24</v>
      </c>
      <c r="H299" t="s">
        <v>21</v>
      </c>
      <c r="I299" s="11">
        <v>0</v>
      </c>
      <c r="J299" s="11">
        <v>1500000</v>
      </c>
    </row>
    <row r="300" spans="1:10" x14ac:dyDescent="0.3">
      <c r="A300" s="10">
        <v>46027</v>
      </c>
      <c r="B300" t="s">
        <v>19</v>
      </c>
      <c r="C300" t="str">
        <f t="shared" si="16"/>
        <v>342856178300</v>
      </c>
      <c r="D300" t="str">
        <f t="shared" si="17"/>
        <v>3798512613300</v>
      </c>
      <c r="E300" t="str">
        <f t="shared" si="18"/>
        <v>Client300</v>
      </c>
      <c r="F300" t="str">
        <f t="shared" si="19"/>
        <v>BOB300</v>
      </c>
      <c r="G300" t="s">
        <v>24</v>
      </c>
      <c r="H300" t="s">
        <v>21</v>
      </c>
      <c r="I300" s="11">
        <v>0</v>
      </c>
      <c r="J300" s="11">
        <v>1420000</v>
      </c>
    </row>
    <row r="301" spans="1:10" x14ac:dyDescent="0.3">
      <c r="A301" s="10">
        <v>46027</v>
      </c>
      <c r="B301" t="s">
        <v>19</v>
      </c>
      <c r="C301" t="str">
        <f t="shared" si="16"/>
        <v>342856178301</v>
      </c>
      <c r="D301" t="str">
        <f t="shared" si="17"/>
        <v>3798512613301</v>
      </c>
      <c r="E301" t="str">
        <f t="shared" si="18"/>
        <v>Client301</v>
      </c>
      <c r="F301" t="str">
        <f t="shared" si="19"/>
        <v>BOB301</v>
      </c>
      <c r="G301" t="s">
        <v>24</v>
      </c>
      <c r="H301" t="s">
        <v>21</v>
      </c>
      <c r="I301" s="11">
        <v>0</v>
      </c>
      <c r="J301" s="11">
        <v>1001500</v>
      </c>
    </row>
    <row r="302" spans="1:10" x14ac:dyDescent="0.3">
      <c r="A302" s="10">
        <v>46027</v>
      </c>
      <c r="B302" t="s">
        <v>19</v>
      </c>
      <c r="C302" t="str">
        <f t="shared" si="16"/>
        <v>342856178302</v>
      </c>
      <c r="D302" t="str">
        <f t="shared" si="17"/>
        <v>3798512613302</v>
      </c>
      <c r="E302" t="str">
        <f t="shared" si="18"/>
        <v>Client302</v>
      </c>
      <c r="F302" t="str">
        <f t="shared" si="19"/>
        <v>BOB302</v>
      </c>
      <c r="G302" t="s">
        <v>24</v>
      </c>
      <c r="H302" t="s">
        <v>21</v>
      </c>
      <c r="I302" s="11">
        <v>0</v>
      </c>
      <c r="J302" s="11">
        <v>5509000</v>
      </c>
    </row>
    <row r="303" spans="1:10" x14ac:dyDescent="0.3">
      <c r="A303" s="10">
        <v>46027</v>
      </c>
      <c r="B303" t="s">
        <v>19</v>
      </c>
      <c r="C303" t="str">
        <f t="shared" si="16"/>
        <v>342856178303</v>
      </c>
      <c r="D303" t="str">
        <f t="shared" si="17"/>
        <v>3798512613303</v>
      </c>
      <c r="E303" t="str">
        <f t="shared" si="18"/>
        <v>Client303</v>
      </c>
      <c r="F303" t="str">
        <f t="shared" si="19"/>
        <v>BOB303</v>
      </c>
      <c r="G303" t="s">
        <v>24</v>
      </c>
      <c r="H303" t="s">
        <v>21</v>
      </c>
      <c r="I303" s="11">
        <v>0</v>
      </c>
      <c r="J303" s="11">
        <v>13019500</v>
      </c>
    </row>
    <row r="304" spans="1:10" x14ac:dyDescent="0.3">
      <c r="A304" s="10">
        <v>46027</v>
      </c>
      <c r="B304" t="s">
        <v>19</v>
      </c>
      <c r="C304" t="str">
        <f t="shared" si="16"/>
        <v>342856178304</v>
      </c>
      <c r="D304" t="str">
        <f t="shared" si="17"/>
        <v>3798512613304</v>
      </c>
      <c r="E304" t="str">
        <f t="shared" si="18"/>
        <v>Client304</v>
      </c>
      <c r="F304" t="str">
        <f t="shared" si="19"/>
        <v>BOB304</v>
      </c>
      <c r="G304" t="s">
        <v>24</v>
      </c>
      <c r="H304" t="s">
        <v>21</v>
      </c>
      <c r="I304" s="11">
        <v>0</v>
      </c>
      <c r="J304" s="11">
        <v>2003000</v>
      </c>
    </row>
    <row r="305" spans="1:10" x14ac:dyDescent="0.3">
      <c r="A305" s="10">
        <v>46027</v>
      </c>
      <c r="B305" t="s">
        <v>19</v>
      </c>
      <c r="C305" t="str">
        <f t="shared" si="16"/>
        <v>342856178305</v>
      </c>
      <c r="D305" t="str">
        <f t="shared" si="17"/>
        <v>3798512613305</v>
      </c>
      <c r="E305" t="str">
        <f t="shared" si="18"/>
        <v>Client305</v>
      </c>
      <c r="F305" t="str">
        <f t="shared" si="19"/>
        <v>BOB305</v>
      </c>
      <c r="G305" t="s">
        <v>24</v>
      </c>
      <c r="H305" t="s">
        <v>21</v>
      </c>
      <c r="I305" s="11">
        <v>0</v>
      </c>
      <c r="J305" s="11">
        <v>4006000</v>
      </c>
    </row>
    <row r="306" spans="1:10" x14ac:dyDescent="0.3">
      <c r="A306" s="10">
        <v>46027</v>
      </c>
      <c r="B306" t="s">
        <v>19</v>
      </c>
      <c r="C306" t="str">
        <f t="shared" si="16"/>
        <v>342856178306</v>
      </c>
      <c r="D306" t="str">
        <f t="shared" si="17"/>
        <v>3798512613306</v>
      </c>
      <c r="E306" t="str">
        <f t="shared" si="18"/>
        <v>Client306</v>
      </c>
      <c r="F306" t="str">
        <f t="shared" si="19"/>
        <v>BOB306</v>
      </c>
      <c r="G306" t="s">
        <v>24</v>
      </c>
      <c r="H306" t="s">
        <v>21</v>
      </c>
      <c r="I306" s="11">
        <v>0</v>
      </c>
      <c r="J306" s="11">
        <v>6000000</v>
      </c>
    </row>
    <row r="307" spans="1:10" x14ac:dyDescent="0.3">
      <c r="A307" s="10">
        <v>46027</v>
      </c>
      <c r="B307" t="s">
        <v>19</v>
      </c>
      <c r="C307" t="str">
        <f t="shared" si="16"/>
        <v>342856178307</v>
      </c>
      <c r="D307" t="str">
        <f t="shared" si="17"/>
        <v>3798512613307</v>
      </c>
      <c r="E307" t="str">
        <f t="shared" si="18"/>
        <v>Client307</v>
      </c>
      <c r="F307" t="str">
        <f t="shared" si="19"/>
        <v>BOB307</v>
      </c>
      <c r="G307" t="s">
        <v>24</v>
      </c>
      <c r="H307" t="s">
        <v>21</v>
      </c>
      <c r="I307" s="11">
        <v>0</v>
      </c>
      <c r="J307" s="11">
        <v>17721000</v>
      </c>
    </row>
    <row r="308" spans="1:10" x14ac:dyDescent="0.3">
      <c r="A308" s="10">
        <v>46027</v>
      </c>
      <c r="B308" t="s">
        <v>19</v>
      </c>
      <c r="C308" t="str">
        <f t="shared" si="16"/>
        <v>342856178308</v>
      </c>
      <c r="D308" t="str">
        <f t="shared" si="17"/>
        <v>3798512613308</v>
      </c>
      <c r="E308" t="str">
        <f t="shared" si="18"/>
        <v>Client308</v>
      </c>
      <c r="F308" t="str">
        <f t="shared" si="19"/>
        <v>BOB308</v>
      </c>
      <c r="G308" t="s">
        <v>24</v>
      </c>
      <c r="H308" t="s">
        <v>21</v>
      </c>
      <c r="I308" s="11">
        <v>0</v>
      </c>
      <c r="J308" s="11">
        <v>5000000</v>
      </c>
    </row>
    <row r="309" spans="1:10" x14ac:dyDescent="0.3">
      <c r="A309" s="10">
        <v>46027</v>
      </c>
      <c r="B309" t="s">
        <v>19</v>
      </c>
      <c r="C309" t="str">
        <f t="shared" si="16"/>
        <v>342856178309</v>
      </c>
      <c r="D309" t="str">
        <f t="shared" si="17"/>
        <v>3798512613309</v>
      </c>
      <c r="E309" t="str">
        <f t="shared" si="18"/>
        <v>Client309</v>
      </c>
      <c r="F309" t="str">
        <f t="shared" si="19"/>
        <v>BOB309</v>
      </c>
      <c r="G309" t="s">
        <v>24</v>
      </c>
      <c r="H309" t="s">
        <v>21</v>
      </c>
      <c r="I309" s="11">
        <v>0</v>
      </c>
      <c r="J309" s="11">
        <v>2000000</v>
      </c>
    </row>
    <row r="310" spans="1:10" x14ac:dyDescent="0.3">
      <c r="A310" s="10">
        <v>46027</v>
      </c>
      <c r="B310" t="s">
        <v>19</v>
      </c>
      <c r="C310" t="str">
        <f t="shared" si="16"/>
        <v>342856178310</v>
      </c>
      <c r="D310" t="str">
        <f t="shared" si="17"/>
        <v>3798512613310</v>
      </c>
      <c r="E310" t="str">
        <f t="shared" si="18"/>
        <v>Client310</v>
      </c>
      <c r="F310" t="str">
        <f t="shared" si="19"/>
        <v>BOB310</v>
      </c>
      <c r="G310" t="s">
        <v>24</v>
      </c>
      <c r="H310" t="s">
        <v>21</v>
      </c>
      <c r="I310" s="11">
        <v>0</v>
      </c>
      <c r="J310" s="11">
        <v>4654500</v>
      </c>
    </row>
    <row r="311" spans="1:10" x14ac:dyDescent="0.3">
      <c r="A311" s="10">
        <v>46027</v>
      </c>
      <c r="B311" t="s">
        <v>19</v>
      </c>
      <c r="C311" t="str">
        <f t="shared" si="16"/>
        <v>342856178311</v>
      </c>
      <c r="D311" t="str">
        <f t="shared" si="17"/>
        <v>3798512613311</v>
      </c>
      <c r="E311" t="str">
        <f t="shared" si="18"/>
        <v>Client311</v>
      </c>
      <c r="F311" t="str">
        <f t="shared" si="19"/>
        <v>BOB311</v>
      </c>
      <c r="G311" t="s">
        <v>24</v>
      </c>
      <c r="H311" t="s">
        <v>21</v>
      </c>
      <c r="I311" s="11">
        <v>0</v>
      </c>
      <c r="J311" s="11">
        <v>2000000</v>
      </c>
    </row>
    <row r="312" spans="1:10" x14ac:dyDescent="0.3">
      <c r="A312" s="10">
        <v>46027</v>
      </c>
      <c r="B312" t="s">
        <v>19</v>
      </c>
      <c r="C312" t="str">
        <f t="shared" si="16"/>
        <v>342856178312</v>
      </c>
      <c r="D312" t="str">
        <f t="shared" si="17"/>
        <v>3798512613312</v>
      </c>
      <c r="E312" t="str">
        <f t="shared" si="18"/>
        <v>Client312</v>
      </c>
      <c r="F312" t="str">
        <f t="shared" si="19"/>
        <v>BOB312</v>
      </c>
      <c r="G312" t="s">
        <v>24</v>
      </c>
      <c r="H312" t="s">
        <v>21</v>
      </c>
      <c r="I312" s="11">
        <v>0</v>
      </c>
      <c r="J312" s="11">
        <v>1200000</v>
      </c>
    </row>
    <row r="313" spans="1:10" x14ac:dyDescent="0.3">
      <c r="A313" s="10">
        <v>46027</v>
      </c>
      <c r="B313" t="s">
        <v>19</v>
      </c>
      <c r="C313" t="str">
        <f t="shared" si="16"/>
        <v>342856178313</v>
      </c>
      <c r="D313" t="str">
        <f t="shared" si="17"/>
        <v>3798512613313</v>
      </c>
      <c r="E313" t="str">
        <f t="shared" si="18"/>
        <v>Client313</v>
      </c>
      <c r="F313" t="str">
        <f t="shared" si="19"/>
        <v>BOB313</v>
      </c>
      <c r="G313" t="s">
        <v>24</v>
      </c>
      <c r="H313" t="s">
        <v>21</v>
      </c>
      <c r="I313" s="11">
        <v>0</v>
      </c>
      <c r="J313" s="11">
        <v>2003000</v>
      </c>
    </row>
    <row r="314" spans="1:10" x14ac:dyDescent="0.3">
      <c r="A314" s="10">
        <v>46027</v>
      </c>
      <c r="B314" t="s">
        <v>19</v>
      </c>
      <c r="C314" t="str">
        <f t="shared" si="16"/>
        <v>342856178314</v>
      </c>
      <c r="D314" t="str">
        <f t="shared" si="17"/>
        <v>3798512613314</v>
      </c>
      <c r="E314" t="str">
        <f t="shared" si="18"/>
        <v>Client314</v>
      </c>
      <c r="F314" t="str">
        <f t="shared" si="19"/>
        <v>BOB314</v>
      </c>
      <c r="G314" t="s">
        <v>24</v>
      </c>
      <c r="H314" t="s">
        <v>21</v>
      </c>
      <c r="I314" s="11">
        <v>0</v>
      </c>
      <c r="J314" s="11">
        <v>300000</v>
      </c>
    </row>
    <row r="315" spans="1:10" x14ac:dyDescent="0.3">
      <c r="A315" s="10">
        <v>46027</v>
      </c>
      <c r="B315" t="s">
        <v>19</v>
      </c>
      <c r="C315" t="str">
        <f t="shared" si="16"/>
        <v>342856178315</v>
      </c>
      <c r="D315" t="str">
        <f t="shared" si="17"/>
        <v>3798512613315</v>
      </c>
      <c r="E315" t="str">
        <f t="shared" si="18"/>
        <v>Client315</v>
      </c>
      <c r="F315" t="str">
        <f t="shared" si="19"/>
        <v>BOB315</v>
      </c>
      <c r="G315" t="s">
        <v>24</v>
      </c>
      <c r="H315" t="s">
        <v>21</v>
      </c>
      <c r="I315" s="11">
        <v>0</v>
      </c>
      <c r="J315" s="11">
        <v>9300000</v>
      </c>
    </row>
    <row r="316" spans="1:10" x14ac:dyDescent="0.3">
      <c r="A316" s="10">
        <v>46027</v>
      </c>
      <c r="B316" t="s">
        <v>19</v>
      </c>
      <c r="C316" t="str">
        <f t="shared" si="16"/>
        <v>342856178316</v>
      </c>
      <c r="D316" t="str">
        <f t="shared" si="17"/>
        <v>3798512613316</v>
      </c>
      <c r="E316" t="str">
        <f t="shared" si="18"/>
        <v>Client316</v>
      </c>
      <c r="F316" t="str">
        <f t="shared" si="19"/>
        <v>BOB316</v>
      </c>
      <c r="G316" t="s">
        <v>24</v>
      </c>
      <c r="H316" t="s">
        <v>21</v>
      </c>
      <c r="I316" s="11">
        <v>0</v>
      </c>
      <c r="J316" s="11">
        <v>2003000</v>
      </c>
    </row>
    <row r="317" spans="1:10" x14ac:dyDescent="0.3">
      <c r="A317" s="10">
        <v>46027</v>
      </c>
      <c r="B317" t="s">
        <v>19</v>
      </c>
      <c r="C317" t="str">
        <f t="shared" si="16"/>
        <v>342856178317</v>
      </c>
      <c r="D317" t="str">
        <f t="shared" si="17"/>
        <v>3798512613317</v>
      </c>
      <c r="E317" t="str">
        <f t="shared" si="18"/>
        <v>Client317</v>
      </c>
      <c r="F317" t="str">
        <f t="shared" si="19"/>
        <v>BOB317</v>
      </c>
      <c r="G317" t="s">
        <v>24</v>
      </c>
      <c r="H317" t="s">
        <v>21</v>
      </c>
      <c r="I317" s="11">
        <v>0</v>
      </c>
      <c r="J317" s="11">
        <v>2600000</v>
      </c>
    </row>
    <row r="318" spans="1:10" x14ac:dyDescent="0.3">
      <c r="A318" s="10">
        <v>46027</v>
      </c>
      <c r="B318" t="s">
        <v>19</v>
      </c>
      <c r="C318" t="str">
        <f t="shared" si="16"/>
        <v>342856178318</v>
      </c>
      <c r="D318" t="str">
        <f t="shared" si="17"/>
        <v>3798512613318</v>
      </c>
      <c r="E318" t="str">
        <f t="shared" si="18"/>
        <v>Client318</v>
      </c>
      <c r="F318" t="str">
        <f t="shared" si="19"/>
        <v>BOB318</v>
      </c>
      <c r="G318" t="s">
        <v>24</v>
      </c>
      <c r="H318" t="s">
        <v>21</v>
      </c>
      <c r="I318" s="11">
        <v>0</v>
      </c>
      <c r="J318" s="11">
        <v>1100000</v>
      </c>
    </row>
    <row r="319" spans="1:10" x14ac:dyDescent="0.3">
      <c r="A319" s="10">
        <v>46027</v>
      </c>
      <c r="B319" t="s">
        <v>19</v>
      </c>
      <c r="C319" t="str">
        <f t="shared" si="16"/>
        <v>342856178319</v>
      </c>
      <c r="D319" t="str">
        <f t="shared" si="17"/>
        <v>3798512613319</v>
      </c>
      <c r="E319" t="str">
        <f t="shared" si="18"/>
        <v>Client319</v>
      </c>
      <c r="F319" t="str">
        <f t="shared" si="19"/>
        <v>BOB319</v>
      </c>
      <c r="G319" t="s">
        <v>24</v>
      </c>
      <c r="H319" t="s">
        <v>21</v>
      </c>
      <c r="I319" s="11">
        <v>0</v>
      </c>
      <c r="J319" s="11">
        <v>1000000</v>
      </c>
    </row>
    <row r="320" spans="1:10" x14ac:dyDescent="0.3">
      <c r="A320" s="10">
        <v>46027</v>
      </c>
      <c r="B320" t="s">
        <v>19</v>
      </c>
      <c r="C320" t="str">
        <f t="shared" si="16"/>
        <v>342856178320</v>
      </c>
      <c r="D320" t="str">
        <f t="shared" si="17"/>
        <v>3798512613320</v>
      </c>
      <c r="E320" t="str">
        <f t="shared" si="18"/>
        <v>Client320</v>
      </c>
      <c r="F320" t="str">
        <f t="shared" si="19"/>
        <v>BOB320</v>
      </c>
      <c r="G320" t="s">
        <v>24</v>
      </c>
      <c r="H320" t="s">
        <v>21</v>
      </c>
      <c r="I320" s="11">
        <v>0</v>
      </c>
      <c r="J320" s="11">
        <v>3004500</v>
      </c>
    </row>
    <row r="321" spans="1:10" x14ac:dyDescent="0.3">
      <c r="A321" s="10">
        <v>46027</v>
      </c>
      <c r="B321" t="s">
        <v>19</v>
      </c>
      <c r="C321" t="str">
        <f t="shared" si="16"/>
        <v>342856178321</v>
      </c>
      <c r="D321" t="str">
        <f t="shared" si="17"/>
        <v>3798512613321</v>
      </c>
      <c r="E321" t="str">
        <f t="shared" si="18"/>
        <v>Client321</v>
      </c>
      <c r="F321" t="str">
        <f t="shared" si="19"/>
        <v>BOB321</v>
      </c>
      <c r="G321" t="s">
        <v>24</v>
      </c>
      <c r="H321" t="s">
        <v>21</v>
      </c>
      <c r="I321" s="11">
        <v>0</v>
      </c>
      <c r="J321" s="11">
        <v>1500000</v>
      </c>
    </row>
    <row r="322" spans="1:10" x14ac:dyDescent="0.3">
      <c r="A322" s="10">
        <v>46027</v>
      </c>
      <c r="B322" t="s">
        <v>19</v>
      </c>
      <c r="C322" t="str">
        <f t="shared" ref="C322:C385" si="20" xml:space="preserve"> "342856178" &amp; ROW()</f>
        <v>342856178322</v>
      </c>
      <c r="D322" t="str">
        <f t="shared" ref="D322:D385" si="21" xml:space="preserve"> "3798512613" &amp; ROW()</f>
        <v>3798512613322</v>
      </c>
      <c r="E322" t="str">
        <f t="shared" ref="E322:E385" si="22">"Client"&amp;ROW()</f>
        <v>Client322</v>
      </c>
      <c r="F322" t="str">
        <f t="shared" ref="F322:F385" si="23">"BOB"&amp;ROW()</f>
        <v>BOB322</v>
      </c>
      <c r="G322" t="s">
        <v>24</v>
      </c>
      <c r="H322" t="s">
        <v>21</v>
      </c>
      <c r="I322" s="11">
        <v>0</v>
      </c>
      <c r="J322" s="11">
        <v>4000000</v>
      </c>
    </row>
    <row r="323" spans="1:10" x14ac:dyDescent="0.3">
      <c r="A323" s="10">
        <v>46027</v>
      </c>
      <c r="B323" t="s">
        <v>19</v>
      </c>
      <c r="C323" t="str">
        <f t="shared" si="20"/>
        <v>342856178323</v>
      </c>
      <c r="D323" t="str">
        <f t="shared" si="21"/>
        <v>3798512613323</v>
      </c>
      <c r="E323" t="str">
        <f t="shared" si="22"/>
        <v>Client323</v>
      </c>
      <c r="F323" t="str">
        <f t="shared" si="23"/>
        <v>BOB323</v>
      </c>
      <c r="G323" t="s">
        <v>24</v>
      </c>
      <c r="H323" t="s">
        <v>21</v>
      </c>
      <c r="I323" s="11">
        <v>0</v>
      </c>
      <c r="J323" s="11">
        <v>1300000</v>
      </c>
    </row>
    <row r="324" spans="1:10" hidden="1" x14ac:dyDescent="0.3">
      <c r="A324" s="10">
        <v>46027</v>
      </c>
      <c r="B324" t="s">
        <v>19</v>
      </c>
      <c r="C324" t="str">
        <f t="shared" si="20"/>
        <v>342856178324</v>
      </c>
      <c r="D324" t="str">
        <f t="shared" si="21"/>
        <v>3798512613324</v>
      </c>
      <c r="E324" t="str">
        <f t="shared" si="22"/>
        <v>Client324</v>
      </c>
      <c r="F324" t="str">
        <f t="shared" si="23"/>
        <v>BOB324</v>
      </c>
      <c r="G324" t="s">
        <v>25</v>
      </c>
      <c r="H324" t="s">
        <v>21</v>
      </c>
      <c r="I324" s="11">
        <v>0</v>
      </c>
      <c r="J324" s="11">
        <v>2500000</v>
      </c>
    </row>
    <row r="325" spans="1:10" hidden="1" x14ac:dyDescent="0.3">
      <c r="A325" s="10">
        <v>46027</v>
      </c>
      <c r="B325" t="s">
        <v>19</v>
      </c>
      <c r="C325" t="str">
        <f t="shared" si="20"/>
        <v>342856178325</v>
      </c>
      <c r="D325" t="str">
        <f t="shared" si="21"/>
        <v>3798512613325</v>
      </c>
      <c r="E325" t="str">
        <f t="shared" si="22"/>
        <v>Client325</v>
      </c>
      <c r="F325" t="str">
        <f t="shared" si="23"/>
        <v>BOB325</v>
      </c>
      <c r="G325" t="s">
        <v>25</v>
      </c>
      <c r="H325" t="s">
        <v>21</v>
      </c>
      <c r="I325" s="11">
        <v>0</v>
      </c>
      <c r="J325" s="11">
        <v>7984700</v>
      </c>
    </row>
    <row r="326" spans="1:10" hidden="1" x14ac:dyDescent="0.3">
      <c r="A326" s="10">
        <v>46027</v>
      </c>
      <c r="B326" t="s">
        <v>19</v>
      </c>
      <c r="C326" t="str">
        <f t="shared" si="20"/>
        <v>342856178326</v>
      </c>
      <c r="D326" t="str">
        <f t="shared" si="21"/>
        <v>3798512613326</v>
      </c>
      <c r="E326" t="str">
        <f t="shared" si="22"/>
        <v>Client326</v>
      </c>
      <c r="F326" t="str">
        <f t="shared" si="23"/>
        <v>BOB326</v>
      </c>
      <c r="G326" t="s">
        <v>25</v>
      </c>
      <c r="H326" t="s">
        <v>21</v>
      </c>
      <c r="I326" s="11">
        <v>0</v>
      </c>
      <c r="J326" s="11">
        <v>12721400</v>
      </c>
    </row>
    <row r="327" spans="1:10" hidden="1" x14ac:dyDescent="0.3">
      <c r="A327" s="10">
        <v>46027</v>
      </c>
      <c r="B327" t="s">
        <v>19</v>
      </c>
      <c r="C327" t="str">
        <f t="shared" si="20"/>
        <v>342856178327</v>
      </c>
      <c r="D327" t="str">
        <f t="shared" si="21"/>
        <v>3798512613327</v>
      </c>
      <c r="E327" t="str">
        <f t="shared" si="22"/>
        <v>Client327</v>
      </c>
      <c r="F327" t="str">
        <f t="shared" si="23"/>
        <v>BOB327</v>
      </c>
      <c r="G327" t="s">
        <v>25</v>
      </c>
      <c r="H327" t="s">
        <v>21</v>
      </c>
      <c r="I327" s="11">
        <v>0</v>
      </c>
      <c r="J327" s="11">
        <v>7804800</v>
      </c>
    </row>
    <row r="328" spans="1:10" hidden="1" x14ac:dyDescent="0.3">
      <c r="A328" s="10">
        <v>46027</v>
      </c>
      <c r="B328" t="s">
        <v>19</v>
      </c>
      <c r="C328" t="str">
        <f t="shared" si="20"/>
        <v>342856178328</v>
      </c>
      <c r="D328" t="str">
        <f t="shared" si="21"/>
        <v>3798512613328</v>
      </c>
      <c r="E328" t="str">
        <f t="shared" si="22"/>
        <v>Client328</v>
      </c>
      <c r="F328" t="str">
        <f t="shared" si="23"/>
        <v>BOB328</v>
      </c>
      <c r="G328" t="s">
        <v>25</v>
      </c>
      <c r="H328" t="s">
        <v>21</v>
      </c>
      <c r="I328" s="11">
        <v>0</v>
      </c>
      <c r="J328" s="11">
        <v>8645700</v>
      </c>
    </row>
    <row r="329" spans="1:10" hidden="1" x14ac:dyDescent="0.3">
      <c r="A329" s="10">
        <v>46027</v>
      </c>
      <c r="B329" t="s">
        <v>19</v>
      </c>
      <c r="C329" t="str">
        <f t="shared" si="20"/>
        <v>342856178329</v>
      </c>
      <c r="D329" t="str">
        <f t="shared" si="21"/>
        <v>3798512613329</v>
      </c>
      <c r="E329" t="str">
        <f t="shared" si="22"/>
        <v>Client329</v>
      </c>
      <c r="F329" t="str">
        <f t="shared" si="23"/>
        <v>BOB329</v>
      </c>
      <c r="G329" t="s">
        <v>20</v>
      </c>
      <c r="H329" t="s">
        <v>21</v>
      </c>
      <c r="I329" s="11">
        <v>0</v>
      </c>
      <c r="J329" s="11">
        <v>3703500</v>
      </c>
    </row>
    <row r="330" spans="1:10" hidden="1" x14ac:dyDescent="0.3">
      <c r="A330" s="10">
        <v>46027</v>
      </c>
      <c r="B330" t="s">
        <v>19</v>
      </c>
      <c r="C330" t="str">
        <f t="shared" si="20"/>
        <v>342856178330</v>
      </c>
      <c r="D330" t="str">
        <f t="shared" si="21"/>
        <v>3798512613330</v>
      </c>
      <c r="E330" t="str">
        <f t="shared" si="22"/>
        <v>Client330</v>
      </c>
      <c r="F330" t="str">
        <f t="shared" si="23"/>
        <v>BOB330</v>
      </c>
      <c r="G330" t="s">
        <v>20</v>
      </c>
      <c r="H330" t="s">
        <v>21</v>
      </c>
      <c r="I330" s="11">
        <v>0</v>
      </c>
      <c r="J330" s="11">
        <v>3930000</v>
      </c>
    </row>
    <row r="331" spans="1:10" hidden="1" x14ac:dyDescent="0.3">
      <c r="A331" s="10">
        <v>46027</v>
      </c>
      <c r="B331" t="s">
        <v>19</v>
      </c>
      <c r="C331" t="str">
        <f t="shared" si="20"/>
        <v>342856178331</v>
      </c>
      <c r="D331" t="str">
        <f t="shared" si="21"/>
        <v>3798512613331</v>
      </c>
      <c r="E331" t="str">
        <f t="shared" si="22"/>
        <v>Client331</v>
      </c>
      <c r="F331" t="str">
        <f t="shared" si="23"/>
        <v>BOB331</v>
      </c>
      <c r="G331" t="s">
        <v>20</v>
      </c>
      <c r="H331" t="s">
        <v>21</v>
      </c>
      <c r="I331" s="11">
        <v>0</v>
      </c>
      <c r="J331" s="11">
        <v>340000</v>
      </c>
    </row>
    <row r="332" spans="1:10" hidden="1" x14ac:dyDescent="0.3">
      <c r="A332" s="10">
        <v>46027</v>
      </c>
      <c r="B332" t="s">
        <v>19</v>
      </c>
      <c r="C332" t="str">
        <f t="shared" si="20"/>
        <v>342856178332</v>
      </c>
      <c r="D332" t="str">
        <f t="shared" si="21"/>
        <v>3798512613332</v>
      </c>
      <c r="E332" t="str">
        <f t="shared" si="22"/>
        <v>Client332</v>
      </c>
      <c r="F332" t="str">
        <f t="shared" si="23"/>
        <v>BOB332</v>
      </c>
      <c r="G332" t="s">
        <v>20</v>
      </c>
      <c r="H332" t="s">
        <v>21</v>
      </c>
      <c r="I332" s="11">
        <v>0</v>
      </c>
      <c r="J332" s="11">
        <v>850000</v>
      </c>
    </row>
    <row r="333" spans="1:10" hidden="1" x14ac:dyDescent="0.3">
      <c r="A333" s="10">
        <v>46027</v>
      </c>
      <c r="B333" t="s">
        <v>19</v>
      </c>
      <c r="C333" t="str">
        <f t="shared" si="20"/>
        <v>342856178333</v>
      </c>
      <c r="D333" t="str">
        <f t="shared" si="21"/>
        <v>3798512613333</v>
      </c>
      <c r="E333" t="str">
        <f t="shared" si="22"/>
        <v>Client333</v>
      </c>
      <c r="F333" t="str">
        <f t="shared" si="23"/>
        <v>BOB333</v>
      </c>
      <c r="I333" s="11">
        <v>0</v>
      </c>
      <c r="J333" s="11">
        <v>1000000</v>
      </c>
    </row>
    <row r="334" spans="1:10" hidden="1" x14ac:dyDescent="0.3">
      <c r="A334" s="10">
        <v>46027</v>
      </c>
      <c r="B334" t="s">
        <v>19</v>
      </c>
      <c r="C334" t="str">
        <f t="shared" si="20"/>
        <v>342856178334</v>
      </c>
      <c r="D334" t="str">
        <f t="shared" si="21"/>
        <v>3798512613334</v>
      </c>
      <c r="E334" t="str">
        <f t="shared" si="22"/>
        <v>Client334</v>
      </c>
      <c r="F334" t="str">
        <f t="shared" si="23"/>
        <v>BOB334</v>
      </c>
      <c r="G334" t="s">
        <v>25</v>
      </c>
      <c r="H334" t="s">
        <v>21</v>
      </c>
      <c r="I334" s="11">
        <v>0</v>
      </c>
      <c r="J334" s="11">
        <v>2800000</v>
      </c>
    </row>
    <row r="335" spans="1:10" hidden="1" x14ac:dyDescent="0.3">
      <c r="A335" s="10">
        <v>46027</v>
      </c>
      <c r="B335" t="s">
        <v>19</v>
      </c>
      <c r="C335" t="str">
        <f t="shared" si="20"/>
        <v>342856178335</v>
      </c>
      <c r="D335" t="str">
        <f t="shared" si="21"/>
        <v>3798512613335</v>
      </c>
      <c r="E335" t="str">
        <f t="shared" si="22"/>
        <v>Client335</v>
      </c>
      <c r="F335" t="str">
        <f t="shared" si="23"/>
        <v>BOB335</v>
      </c>
      <c r="G335" t="s">
        <v>25</v>
      </c>
      <c r="H335" t="s">
        <v>21</v>
      </c>
      <c r="I335" s="11">
        <v>0</v>
      </c>
      <c r="J335" s="11">
        <v>350000</v>
      </c>
    </row>
    <row r="336" spans="1:10" hidden="1" x14ac:dyDescent="0.3">
      <c r="A336" s="10">
        <v>46027</v>
      </c>
      <c r="B336" t="s">
        <v>19</v>
      </c>
      <c r="C336" t="str">
        <f t="shared" si="20"/>
        <v>342856178336</v>
      </c>
      <c r="D336" t="str">
        <f t="shared" si="21"/>
        <v>3798512613336</v>
      </c>
      <c r="E336" t="str">
        <f t="shared" si="22"/>
        <v>Client336</v>
      </c>
      <c r="F336" t="str">
        <f t="shared" si="23"/>
        <v>BOB336</v>
      </c>
      <c r="G336" t="s">
        <v>25</v>
      </c>
      <c r="H336" t="s">
        <v>21</v>
      </c>
      <c r="I336" s="11">
        <v>0</v>
      </c>
      <c r="J336" s="11">
        <v>492000</v>
      </c>
    </row>
    <row r="337" spans="1:10" hidden="1" x14ac:dyDescent="0.3">
      <c r="A337" s="10">
        <v>46027</v>
      </c>
      <c r="B337" t="s">
        <v>19</v>
      </c>
      <c r="C337" t="str">
        <f t="shared" si="20"/>
        <v>342856178337</v>
      </c>
      <c r="D337" t="str">
        <f t="shared" si="21"/>
        <v>3798512613337</v>
      </c>
      <c r="E337" t="str">
        <f t="shared" si="22"/>
        <v>Client337</v>
      </c>
      <c r="F337" t="str">
        <f t="shared" si="23"/>
        <v>BOB337</v>
      </c>
      <c r="G337" t="s">
        <v>25</v>
      </c>
      <c r="H337" t="s">
        <v>21</v>
      </c>
      <c r="I337" s="11">
        <v>0</v>
      </c>
      <c r="J337" s="11">
        <v>4001500</v>
      </c>
    </row>
    <row r="338" spans="1:10" hidden="1" x14ac:dyDescent="0.3">
      <c r="A338" s="10">
        <v>46027</v>
      </c>
      <c r="B338" t="s">
        <v>19</v>
      </c>
      <c r="C338" t="str">
        <f t="shared" si="20"/>
        <v>342856178338</v>
      </c>
      <c r="D338" t="str">
        <f t="shared" si="21"/>
        <v>3798512613338</v>
      </c>
      <c r="E338" t="str">
        <f t="shared" si="22"/>
        <v>Client338</v>
      </c>
      <c r="F338" t="str">
        <f t="shared" si="23"/>
        <v>BOB338</v>
      </c>
      <c r="G338" t="s">
        <v>25</v>
      </c>
      <c r="H338" t="s">
        <v>21</v>
      </c>
      <c r="I338" s="11">
        <v>0</v>
      </c>
      <c r="J338" s="11">
        <v>1200000</v>
      </c>
    </row>
    <row r="339" spans="1:10" hidden="1" x14ac:dyDescent="0.3">
      <c r="A339" s="10">
        <v>46027</v>
      </c>
      <c r="B339" t="s">
        <v>19</v>
      </c>
      <c r="C339" t="str">
        <f t="shared" si="20"/>
        <v>342856178339</v>
      </c>
      <c r="D339" t="str">
        <f t="shared" si="21"/>
        <v>3798512613339</v>
      </c>
      <c r="E339" t="str">
        <f t="shared" si="22"/>
        <v>Client339</v>
      </c>
      <c r="F339" t="str">
        <f t="shared" si="23"/>
        <v>BOB339</v>
      </c>
      <c r="G339" t="s">
        <v>25</v>
      </c>
      <c r="H339" t="s">
        <v>21</v>
      </c>
      <c r="I339" s="11">
        <v>0</v>
      </c>
      <c r="J339" s="11">
        <v>6700000</v>
      </c>
    </row>
    <row r="340" spans="1:10" hidden="1" x14ac:dyDescent="0.3">
      <c r="A340" s="10">
        <v>46027</v>
      </c>
      <c r="B340" t="s">
        <v>19</v>
      </c>
      <c r="C340" t="str">
        <f t="shared" si="20"/>
        <v>342856178340</v>
      </c>
      <c r="D340" t="str">
        <f t="shared" si="21"/>
        <v>3798512613340</v>
      </c>
      <c r="E340" t="str">
        <f t="shared" si="22"/>
        <v>Client340</v>
      </c>
      <c r="F340" t="str">
        <f t="shared" si="23"/>
        <v>BOB340</v>
      </c>
      <c r="G340" t="s">
        <v>25</v>
      </c>
      <c r="H340" t="s">
        <v>21</v>
      </c>
      <c r="I340" s="11">
        <v>0</v>
      </c>
      <c r="J340" s="11">
        <v>300000</v>
      </c>
    </row>
    <row r="341" spans="1:10" hidden="1" x14ac:dyDescent="0.3">
      <c r="A341" s="10">
        <v>46027</v>
      </c>
      <c r="B341" t="s">
        <v>19</v>
      </c>
      <c r="C341" t="str">
        <f t="shared" si="20"/>
        <v>342856178341</v>
      </c>
      <c r="D341" t="str">
        <f t="shared" si="21"/>
        <v>3798512613341</v>
      </c>
      <c r="E341" t="str">
        <f t="shared" si="22"/>
        <v>Client341</v>
      </c>
      <c r="F341" t="str">
        <f t="shared" si="23"/>
        <v>BOB341</v>
      </c>
      <c r="G341" t="s">
        <v>25</v>
      </c>
      <c r="H341" t="s">
        <v>21</v>
      </c>
      <c r="I341" s="11">
        <v>0</v>
      </c>
      <c r="J341" s="11">
        <v>300000</v>
      </c>
    </row>
    <row r="342" spans="1:10" hidden="1" x14ac:dyDescent="0.3">
      <c r="A342" s="10">
        <v>46027</v>
      </c>
      <c r="B342" t="s">
        <v>19</v>
      </c>
      <c r="C342" t="str">
        <f t="shared" si="20"/>
        <v>342856178342</v>
      </c>
      <c r="D342" t="str">
        <f t="shared" si="21"/>
        <v>3798512613342</v>
      </c>
      <c r="E342" t="str">
        <f t="shared" si="22"/>
        <v>Client342</v>
      </c>
      <c r="F342" t="str">
        <f t="shared" si="23"/>
        <v>BOB342</v>
      </c>
      <c r="G342" t="s">
        <v>25</v>
      </c>
      <c r="H342" t="s">
        <v>21</v>
      </c>
      <c r="I342" s="11">
        <v>0</v>
      </c>
      <c r="J342" s="11">
        <v>3500000</v>
      </c>
    </row>
    <row r="343" spans="1:10" hidden="1" x14ac:dyDescent="0.3">
      <c r="A343" s="10">
        <v>46027</v>
      </c>
      <c r="B343" t="s">
        <v>19</v>
      </c>
      <c r="C343" t="str">
        <f t="shared" si="20"/>
        <v>342856178343</v>
      </c>
      <c r="D343" t="str">
        <f t="shared" si="21"/>
        <v>3798512613343</v>
      </c>
      <c r="E343" t="str">
        <f t="shared" si="22"/>
        <v>Client343</v>
      </c>
      <c r="F343" t="str">
        <f t="shared" si="23"/>
        <v>BOB343</v>
      </c>
      <c r="G343" t="s">
        <v>25</v>
      </c>
      <c r="H343" t="s">
        <v>21</v>
      </c>
      <c r="I343" s="11">
        <v>0</v>
      </c>
      <c r="J343" s="11">
        <v>2357000</v>
      </c>
    </row>
    <row r="344" spans="1:10" hidden="1" x14ac:dyDescent="0.3">
      <c r="A344" s="10">
        <v>46027</v>
      </c>
      <c r="B344" t="s">
        <v>19</v>
      </c>
      <c r="C344" t="str">
        <f t="shared" si="20"/>
        <v>342856178344</v>
      </c>
      <c r="D344" t="str">
        <f t="shared" si="21"/>
        <v>3798512613344</v>
      </c>
      <c r="E344" t="str">
        <f t="shared" si="22"/>
        <v>Client344</v>
      </c>
      <c r="F344" t="str">
        <f t="shared" si="23"/>
        <v>BOB344</v>
      </c>
      <c r="G344" t="s">
        <v>25</v>
      </c>
      <c r="H344" t="s">
        <v>21</v>
      </c>
      <c r="I344" s="11">
        <v>0</v>
      </c>
      <c r="J344" s="11">
        <v>7200000</v>
      </c>
    </row>
    <row r="345" spans="1:10" hidden="1" x14ac:dyDescent="0.3">
      <c r="A345" s="10">
        <v>46027</v>
      </c>
      <c r="B345" t="s">
        <v>19</v>
      </c>
      <c r="C345" t="str">
        <f t="shared" si="20"/>
        <v>342856178345</v>
      </c>
      <c r="D345" t="str">
        <f t="shared" si="21"/>
        <v>3798512613345</v>
      </c>
      <c r="E345" t="str">
        <f t="shared" si="22"/>
        <v>Client345</v>
      </c>
      <c r="F345" t="str">
        <f t="shared" si="23"/>
        <v>BOB345</v>
      </c>
      <c r="G345" t="s">
        <v>25</v>
      </c>
      <c r="H345" t="s">
        <v>21</v>
      </c>
      <c r="I345" s="11">
        <v>0</v>
      </c>
      <c r="J345" s="11">
        <v>4140000</v>
      </c>
    </row>
    <row r="346" spans="1:10" hidden="1" x14ac:dyDescent="0.3">
      <c r="A346" s="10">
        <v>46027</v>
      </c>
      <c r="B346" t="s">
        <v>19</v>
      </c>
      <c r="C346" t="str">
        <f t="shared" si="20"/>
        <v>342856178346</v>
      </c>
      <c r="D346" t="str">
        <f t="shared" si="21"/>
        <v>3798512613346</v>
      </c>
      <c r="E346" t="str">
        <f t="shared" si="22"/>
        <v>Client346</v>
      </c>
      <c r="F346" t="str">
        <f t="shared" si="23"/>
        <v>BOB346</v>
      </c>
      <c r="G346" t="s">
        <v>25</v>
      </c>
      <c r="H346" t="s">
        <v>21</v>
      </c>
      <c r="I346" s="11">
        <v>0</v>
      </c>
      <c r="J346" s="11">
        <v>2290000</v>
      </c>
    </row>
    <row r="347" spans="1:10" hidden="1" x14ac:dyDescent="0.3">
      <c r="A347" s="10">
        <v>46027</v>
      </c>
      <c r="B347" t="s">
        <v>19</v>
      </c>
      <c r="C347" t="str">
        <f t="shared" si="20"/>
        <v>342856178347</v>
      </c>
      <c r="D347" t="str">
        <f t="shared" si="21"/>
        <v>3798512613347</v>
      </c>
      <c r="E347" t="str">
        <f t="shared" si="22"/>
        <v>Client347</v>
      </c>
      <c r="F347" t="str">
        <f t="shared" si="23"/>
        <v>BOB347</v>
      </c>
      <c r="G347" t="s">
        <v>25</v>
      </c>
      <c r="H347" t="s">
        <v>21</v>
      </c>
      <c r="I347" s="11">
        <v>0</v>
      </c>
      <c r="J347" s="11">
        <v>5000000</v>
      </c>
    </row>
    <row r="348" spans="1:10" hidden="1" x14ac:dyDescent="0.3">
      <c r="A348" s="10">
        <v>46027</v>
      </c>
      <c r="B348" t="s">
        <v>19</v>
      </c>
      <c r="C348" t="str">
        <f t="shared" si="20"/>
        <v>342856178348</v>
      </c>
      <c r="D348" t="str">
        <f t="shared" si="21"/>
        <v>3798512613348</v>
      </c>
      <c r="E348" t="str">
        <f t="shared" si="22"/>
        <v>Client348</v>
      </c>
      <c r="F348" t="str">
        <f t="shared" si="23"/>
        <v>BOB348</v>
      </c>
      <c r="G348" t="s">
        <v>25</v>
      </c>
      <c r="H348" t="s">
        <v>21</v>
      </c>
      <c r="I348" s="11">
        <v>0</v>
      </c>
      <c r="J348" s="11">
        <v>638500</v>
      </c>
    </row>
    <row r="349" spans="1:10" hidden="1" x14ac:dyDescent="0.3">
      <c r="A349" s="10">
        <v>46027</v>
      </c>
      <c r="B349" t="s">
        <v>19</v>
      </c>
      <c r="C349" t="str">
        <f t="shared" si="20"/>
        <v>342856178349</v>
      </c>
      <c r="D349" t="str">
        <f t="shared" si="21"/>
        <v>3798512613349</v>
      </c>
      <c r="E349" t="str">
        <f t="shared" si="22"/>
        <v>Client349</v>
      </c>
      <c r="F349" t="str">
        <f t="shared" si="23"/>
        <v>BOB349</v>
      </c>
      <c r="G349" t="s">
        <v>25</v>
      </c>
      <c r="H349" t="s">
        <v>21</v>
      </c>
      <c r="I349" s="11">
        <v>0</v>
      </c>
      <c r="J349" s="11">
        <v>1500000</v>
      </c>
    </row>
    <row r="350" spans="1:10" hidden="1" x14ac:dyDescent="0.3">
      <c r="A350" s="10">
        <v>46027</v>
      </c>
      <c r="B350" t="s">
        <v>19</v>
      </c>
      <c r="C350" t="str">
        <f t="shared" si="20"/>
        <v>342856178350</v>
      </c>
      <c r="D350" t="str">
        <f t="shared" si="21"/>
        <v>3798512613350</v>
      </c>
      <c r="E350" t="str">
        <f t="shared" si="22"/>
        <v>Client350</v>
      </c>
      <c r="F350" t="str">
        <f t="shared" si="23"/>
        <v>BOB350</v>
      </c>
      <c r="G350" t="s">
        <v>25</v>
      </c>
      <c r="H350" t="s">
        <v>21</v>
      </c>
      <c r="I350" s="11">
        <v>0</v>
      </c>
      <c r="J350" s="11">
        <v>530500</v>
      </c>
    </row>
    <row r="351" spans="1:10" hidden="1" x14ac:dyDescent="0.3">
      <c r="A351" s="10">
        <v>46027</v>
      </c>
      <c r="B351" t="s">
        <v>19</v>
      </c>
      <c r="C351" t="str">
        <f t="shared" si="20"/>
        <v>342856178351</v>
      </c>
      <c r="D351" t="str">
        <f t="shared" si="21"/>
        <v>3798512613351</v>
      </c>
      <c r="E351" t="str">
        <f t="shared" si="22"/>
        <v>Client351</v>
      </c>
      <c r="F351" t="str">
        <f t="shared" si="23"/>
        <v>BOB351</v>
      </c>
      <c r="G351" t="s">
        <v>25</v>
      </c>
      <c r="H351" t="s">
        <v>21</v>
      </c>
      <c r="I351" s="11">
        <v>0</v>
      </c>
      <c r="J351" s="11">
        <v>3318500</v>
      </c>
    </row>
    <row r="352" spans="1:10" hidden="1" x14ac:dyDescent="0.3">
      <c r="A352" s="10">
        <v>46027</v>
      </c>
      <c r="B352" t="s">
        <v>19</v>
      </c>
      <c r="C352" t="str">
        <f t="shared" si="20"/>
        <v>342856178352</v>
      </c>
      <c r="D352" t="str">
        <f t="shared" si="21"/>
        <v>3798512613352</v>
      </c>
      <c r="E352" t="str">
        <f t="shared" si="22"/>
        <v>Client352</v>
      </c>
      <c r="F352" t="str">
        <f t="shared" si="23"/>
        <v>BOB352</v>
      </c>
      <c r="G352" t="s">
        <v>25</v>
      </c>
      <c r="H352" t="s">
        <v>21</v>
      </c>
      <c r="I352" s="11">
        <v>0</v>
      </c>
      <c r="J352" s="11">
        <v>7200000</v>
      </c>
    </row>
    <row r="353" spans="1:10" hidden="1" x14ac:dyDescent="0.3">
      <c r="A353" s="10">
        <v>46027</v>
      </c>
      <c r="B353" t="s">
        <v>19</v>
      </c>
      <c r="C353" t="str">
        <f t="shared" si="20"/>
        <v>342856178353</v>
      </c>
      <c r="D353" t="str">
        <f t="shared" si="21"/>
        <v>3798512613353</v>
      </c>
      <c r="E353" t="str">
        <f t="shared" si="22"/>
        <v>Client353</v>
      </c>
      <c r="F353" t="str">
        <f t="shared" si="23"/>
        <v>BOB353</v>
      </c>
      <c r="G353" t="s">
        <v>20</v>
      </c>
      <c r="H353" t="s">
        <v>21</v>
      </c>
      <c r="I353" s="11">
        <v>0</v>
      </c>
      <c r="J353" s="11">
        <v>2104000</v>
      </c>
    </row>
    <row r="354" spans="1:10" hidden="1" x14ac:dyDescent="0.3">
      <c r="A354" s="10">
        <v>46027</v>
      </c>
      <c r="B354" t="s">
        <v>19</v>
      </c>
      <c r="C354" t="str">
        <f t="shared" si="20"/>
        <v>342856178354</v>
      </c>
      <c r="D354" t="str">
        <f t="shared" si="21"/>
        <v>3798512613354</v>
      </c>
      <c r="E354" t="str">
        <f t="shared" si="22"/>
        <v>Client354</v>
      </c>
      <c r="F354" t="str">
        <f t="shared" si="23"/>
        <v>BOB354</v>
      </c>
      <c r="G354" t="s">
        <v>20</v>
      </c>
      <c r="H354" t="s">
        <v>21</v>
      </c>
      <c r="I354" s="11">
        <v>0</v>
      </c>
      <c r="J354" s="11">
        <v>3004500</v>
      </c>
    </row>
    <row r="355" spans="1:10" hidden="1" x14ac:dyDescent="0.3">
      <c r="A355" s="10">
        <v>46027</v>
      </c>
      <c r="B355" t="s">
        <v>19</v>
      </c>
      <c r="C355" t="str">
        <f t="shared" si="20"/>
        <v>342856178355</v>
      </c>
      <c r="D355" t="str">
        <f t="shared" si="21"/>
        <v>3798512613355</v>
      </c>
      <c r="E355" t="str">
        <f t="shared" si="22"/>
        <v>Client355</v>
      </c>
      <c r="F355" t="str">
        <f t="shared" si="23"/>
        <v>BOB355</v>
      </c>
      <c r="G355" t="s">
        <v>20</v>
      </c>
      <c r="H355" t="s">
        <v>21</v>
      </c>
      <c r="I355" s="11">
        <v>0</v>
      </c>
      <c r="J355" s="11">
        <v>3500000</v>
      </c>
    </row>
    <row r="356" spans="1:10" hidden="1" x14ac:dyDescent="0.3">
      <c r="A356" s="10">
        <v>46027</v>
      </c>
      <c r="B356" t="s">
        <v>19</v>
      </c>
      <c r="C356" t="str">
        <f t="shared" si="20"/>
        <v>342856178356</v>
      </c>
      <c r="D356" t="str">
        <f t="shared" si="21"/>
        <v>3798512613356</v>
      </c>
      <c r="E356" t="str">
        <f t="shared" si="22"/>
        <v>Client356</v>
      </c>
      <c r="F356" t="str">
        <f t="shared" si="23"/>
        <v>BOB356</v>
      </c>
      <c r="G356" t="s">
        <v>20</v>
      </c>
      <c r="H356" t="s">
        <v>21</v>
      </c>
      <c r="I356" s="11">
        <v>0</v>
      </c>
      <c r="J356" s="11">
        <v>1500000</v>
      </c>
    </row>
    <row r="357" spans="1:10" hidden="1" x14ac:dyDescent="0.3">
      <c r="A357" s="10">
        <v>46027</v>
      </c>
      <c r="B357" t="s">
        <v>19</v>
      </c>
      <c r="C357" t="str">
        <f t="shared" si="20"/>
        <v>342856178357</v>
      </c>
      <c r="D357" t="str">
        <f t="shared" si="21"/>
        <v>3798512613357</v>
      </c>
      <c r="E357" t="str">
        <f t="shared" si="22"/>
        <v>Client357</v>
      </c>
      <c r="F357" t="str">
        <f t="shared" si="23"/>
        <v>BOB357</v>
      </c>
      <c r="G357" t="s">
        <v>20</v>
      </c>
      <c r="H357" t="s">
        <v>21</v>
      </c>
      <c r="I357" s="11">
        <v>0</v>
      </c>
      <c r="J357" s="11">
        <v>5300000</v>
      </c>
    </row>
    <row r="358" spans="1:10" hidden="1" x14ac:dyDescent="0.3">
      <c r="A358" s="10">
        <v>46027</v>
      </c>
      <c r="B358" t="s">
        <v>19</v>
      </c>
      <c r="C358" t="str">
        <f t="shared" si="20"/>
        <v>342856178358</v>
      </c>
      <c r="D358" t="str">
        <f t="shared" si="21"/>
        <v>3798512613358</v>
      </c>
      <c r="E358" t="str">
        <f t="shared" si="22"/>
        <v>Client358</v>
      </c>
      <c r="F358" t="str">
        <f t="shared" si="23"/>
        <v>BOB358</v>
      </c>
      <c r="G358" t="s">
        <v>20</v>
      </c>
      <c r="H358" t="s">
        <v>21</v>
      </c>
      <c r="I358" s="11">
        <v>0</v>
      </c>
      <c r="J358" s="11">
        <v>604000</v>
      </c>
    </row>
    <row r="359" spans="1:10" hidden="1" x14ac:dyDescent="0.3">
      <c r="A359" s="10">
        <v>46027</v>
      </c>
      <c r="B359" t="s">
        <v>19</v>
      </c>
      <c r="C359" t="str">
        <f t="shared" si="20"/>
        <v>342856178359</v>
      </c>
      <c r="D359" t="str">
        <f t="shared" si="21"/>
        <v>3798512613359</v>
      </c>
      <c r="E359" t="str">
        <f t="shared" si="22"/>
        <v>Client359</v>
      </c>
      <c r="F359" t="str">
        <f t="shared" si="23"/>
        <v>BOB359</v>
      </c>
      <c r="G359" t="s">
        <v>20</v>
      </c>
      <c r="H359" t="s">
        <v>21</v>
      </c>
      <c r="I359" s="11">
        <v>0</v>
      </c>
      <c r="J359" s="11">
        <v>3006000</v>
      </c>
    </row>
    <row r="360" spans="1:10" hidden="1" x14ac:dyDescent="0.3">
      <c r="A360" s="10">
        <v>46027</v>
      </c>
      <c r="B360" t="s">
        <v>19</v>
      </c>
      <c r="C360" t="str">
        <f t="shared" si="20"/>
        <v>342856178360</v>
      </c>
      <c r="D360" t="str">
        <f t="shared" si="21"/>
        <v>3798512613360</v>
      </c>
      <c r="E360" t="str">
        <f t="shared" si="22"/>
        <v>Client360</v>
      </c>
      <c r="F360" t="str">
        <f t="shared" si="23"/>
        <v>BOB360</v>
      </c>
      <c r="G360" t="s">
        <v>26</v>
      </c>
      <c r="H360" t="s">
        <v>21</v>
      </c>
      <c r="I360" s="11">
        <v>0</v>
      </c>
      <c r="J360" s="11">
        <v>5080000</v>
      </c>
    </row>
    <row r="361" spans="1:10" hidden="1" x14ac:dyDescent="0.3">
      <c r="A361" s="10">
        <v>46027</v>
      </c>
      <c r="B361" t="s">
        <v>19</v>
      </c>
      <c r="C361" t="str">
        <f t="shared" si="20"/>
        <v>342856178361</v>
      </c>
      <c r="D361" t="str">
        <f t="shared" si="21"/>
        <v>3798512613361</v>
      </c>
      <c r="E361" t="str">
        <f t="shared" si="22"/>
        <v>Client361</v>
      </c>
      <c r="F361" t="str">
        <f t="shared" si="23"/>
        <v>BOB361</v>
      </c>
      <c r="G361" t="s">
        <v>26</v>
      </c>
      <c r="H361" t="s">
        <v>21</v>
      </c>
      <c r="I361" s="11">
        <v>0</v>
      </c>
      <c r="J361" s="11">
        <v>703000</v>
      </c>
    </row>
    <row r="362" spans="1:10" hidden="1" x14ac:dyDescent="0.3">
      <c r="A362" s="10">
        <v>46027</v>
      </c>
      <c r="B362" t="s">
        <v>19</v>
      </c>
      <c r="C362" t="str">
        <f t="shared" si="20"/>
        <v>342856178362</v>
      </c>
      <c r="D362" t="str">
        <f t="shared" si="21"/>
        <v>3798512613362</v>
      </c>
      <c r="E362" t="str">
        <f t="shared" si="22"/>
        <v>Client362</v>
      </c>
      <c r="F362" t="str">
        <f t="shared" si="23"/>
        <v>BOB362</v>
      </c>
      <c r="G362" t="s">
        <v>26</v>
      </c>
      <c r="H362" t="s">
        <v>21</v>
      </c>
      <c r="I362" s="11">
        <v>0</v>
      </c>
      <c r="J362" s="11">
        <v>1003000</v>
      </c>
    </row>
    <row r="363" spans="1:10" hidden="1" x14ac:dyDescent="0.3">
      <c r="A363" s="10">
        <v>46027</v>
      </c>
      <c r="B363" t="s">
        <v>19</v>
      </c>
      <c r="C363" t="str">
        <f t="shared" si="20"/>
        <v>342856178363</v>
      </c>
      <c r="D363" t="str">
        <f t="shared" si="21"/>
        <v>3798512613363</v>
      </c>
      <c r="E363" t="str">
        <f t="shared" si="22"/>
        <v>Client363</v>
      </c>
      <c r="F363" t="str">
        <f t="shared" si="23"/>
        <v>BOB363</v>
      </c>
      <c r="G363" t="s">
        <v>26</v>
      </c>
      <c r="H363" t="s">
        <v>21</v>
      </c>
      <c r="I363" s="11">
        <v>0</v>
      </c>
      <c r="J363" s="11">
        <v>2508500</v>
      </c>
    </row>
    <row r="364" spans="1:10" hidden="1" x14ac:dyDescent="0.3">
      <c r="A364" s="10">
        <v>46027</v>
      </c>
      <c r="B364" t="s">
        <v>19</v>
      </c>
      <c r="C364" t="str">
        <f t="shared" si="20"/>
        <v>342856178364</v>
      </c>
      <c r="D364" t="str">
        <f t="shared" si="21"/>
        <v>3798512613364</v>
      </c>
      <c r="E364" t="str">
        <f t="shared" si="22"/>
        <v>Client364</v>
      </c>
      <c r="F364" t="str">
        <f t="shared" si="23"/>
        <v>BOB364</v>
      </c>
      <c r="G364" t="s">
        <v>26</v>
      </c>
      <c r="H364" t="s">
        <v>21</v>
      </c>
      <c r="I364" s="11">
        <v>0</v>
      </c>
      <c r="J364" s="11">
        <v>3826000</v>
      </c>
    </row>
    <row r="365" spans="1:10" hidden="1" x14ac:dyDescent="0.3">
      <c r="A365" s="10">
        <v>46027</v>
      </c>
      <c r="B365" t="s">
        <v>19</v>
      </c>
      <c r="C365" t="str">
        <f t="shared" si="20"/>
        <v>342856178365</v>
      </c>
      <c r="D365" t="str">
        <f t="shared" si="21"/>
        <v>3798512613365</v>
      </c>
      <c r="E365" t="str">
        <f t="shared" si="22"/>
        <v>Client365</v>
      </c>
      <c r="F365" t="str">
        <f t="shared" si="23"/>
        <v>BOB365</v>
      </c>
      <c r="G365" t="s">
        <v>26</v>
      </c>
      <c r="H365" t="s">
        <v>21</v>
      </c>
      <c r="I365" s="11">
        <v>0</v>
      </c>
      <c r="J365" s="11">
        <v>30250000</v>
      </c>
    </row>
    <row r="366" spans="1:10" hidden="1" x14ac:dyDescent="0.3">
      <c r="A366" s="10">
        <v>46027</v>
      </c>
      <c r="B366" t="s">
        <v>19</v>
      </c>
      <c r="C366" t="str">
        <f t="shared" si="20"/>
        <v>342856178366</v>
      </c>
      <c r="D366" t="str">
        <f t="shared" si="21"/>
        <v>3798512613366</v>
      </c>
      <c r="E366" t="str">
        <f t="shared" si="22"/>
        <v>Client366</v>
      </c>
      <c r="F366" t="str">
        <f t="shared" si="23"/>
        <v>BOB366</v>
      </c>
      <c r="G366" t="s">
        <v>26</v>
      </c>
      <c r="H366" t="s">
        <v>21</v>
      </c>
      <c r="I366" s="11">
        <v>0</v>
      </c>
      <c r="J366" s="11">
        <v>603000</v>
      </c>
    </row>
    <row r="367" spans="1:10" hidden="1" x14ac:dyDescent="0.3">
      <c r="A367" s="10">
        <v>46027</v>
      </c>
      <c r="B367" t="s">
        <v>19</v>
      </c>
      <c r="C367" t="str">
        <f t="shared" si="20"/>
        <v>342856178367</v>
      </c>
      <c r="D367" t="str">
        <f t="shared" si="21"/>
        <v>3798512613367</v>
      </c>
      <c r="E367" t="str">
        <f t="shared" si="22"/>
        <v>Client367</v>
      </c>
      <c r="F367" t="str">
        <f t="shared" si="23"/>
        <v>BOB367</v>
      </c>
      <c r="G367" t="s">
        <v>26</v>
      </c>
      <c r="H367" t="s">
        <v>21</v>
      </c>
      <c r="I367" s="11">
        <v>0</v>
      </c>
      <c r="J367" s="11">
        <v>1003000</v>
      </c>
    </row>
    <row r="368" spans="1:10" hidden="1" x14ac:dyDescent="0.3">
      <c r="A368" s="10">
        <v>46027</v>
      </c>
      <c r="B368" t="s">
        <v>19</v>
      </c>
      <c r="C368" t="str">
        <f t="shared" si="20"/>
        <v>342856178368</v>
      </c>
      <c r="D368" t="str">
        <f t="shared" si="21"/>
        <v>3798512613368</v>
      </c>
      <c r="E368" t="str">
        <f t="shared" si="22"/>
        <v>Client368</v>
      </c>
      <c r="F368" t="str">
        <f t="shared" si="23"/>
        <v>BOB368</v>
      </c>
      <c r="G368" t="s">
        <v>26</v>
      </c>
      <c r="H368" t="s">
        <v>21</v>
      </c>
      <c r="I368" s="11">
        <v>0</v>
      </c>
      <c r="J368" s="11">
        <v>1000000</v>
      </c>
    </row>
    <row r="369" spans="1:10" hidden="1" x14ac:dyDescent="0.3">
      <c r="A369" s="10">
        <v>46027</v>
      </c>
      <c r="B369" t="s">
        <v>19</v>
      </c>
      <c r="C369" t="str">
        <f t="shared" si="20"/>
        <v>342856178369</v>
      </c>
      <c r="D369" t="str">
        <f t="shared" si="21"/>
        <v>3798512613369</v>
      </c>
      <c r="E369" t="str">
        <f t="shared" si="22"/>
        <v>Client369</v>
      </c>
      <c r="F369" t="str">
        <f t="shared" si="23"/>
        <v>BOB369</v>
      </c>
      <c r="G369" t="s">
        <v>26</v>
      </c>
      <c r="H369" t="s">
        <v>21</v>
      </c>
      <c r="I369" s="11">
        <v>0</v>
      </c>
      <c r="J369" s="11">
        <v>1356000</v>
      </c>
    </row>
    <row r="370" spans="1:10" hidden="1" x14ac:dyDescent="0.3">
      <c r="A370" s="10">
        <v>46027</v>
      </c>
      <c r="B370" t="s">
        <v>19</v>
      </c>
      <c r="C370" t="str">
        <f t="shared" si="20"/>
        <v>342856178370</v>
      </c>
      <c r="D370" t="str">
        <f t="shared" si="21"/>
        <v>3798512613370</v>
      </c>
      <c r="E370" t="str">
        <f t="shared" si="22"/>
        <v>Client370</v>
      </c>
      <c r="F370" t="str">
        <f t="shared" si="23"/>
        <v>BOB370</v>
      </c>
      <c r="G370" t="s">
        <v>26</v>
      </c>
      <c r="H370" t="s">
        <v>21</v>
      </c>
      <c r="I370" s="11">
        <v>0</v>
      </c>
      <c r="J370" s="11">
        <v>422500</v>
      </c>
    </row>
    <row r="371" spans="1:10" hidden="1" x14ac:dyDescent="0.3">
      <c r="A371" s="10">
        <v>46027</v>
      </c>
      <c r="B371" t="s">
        <v>19</v>
      </c>
      <c r="C371" t="str">
        <f t="shared" si="20"/>
        <v>342856178371</v>
      </c>
      <c r="D371" t="str">
        <f t="shared" si="21"/>
        <v>3798512613371</v>
      </c>
      <c r="E371" t="str">
        <f t="shared" si="22"/>
        <v>Client371</v>
      </c>
      <c r="F371" t="str">
        <f t="shared" si="23"/>
        <v>BOB371</v>
      </c>
      <c r="G371" t="s">
        <v>26</v>
      </c>
      <c r="H371" t="s">
        <v>21</v>
      </c>
      <c r="I371" s="11">
        <v>0</v>
      </c>
      <c r="J371" s="11">
        <v>1108000</v>
      </c>
    </row>
    <row r="372" spans="1:10" hidden="1" x14ac:dyDescent="0.3">
      <c r="A372" s="10">
        <v>46027</v>
      </c>
      <c r="B372" t="s">
        <v>19</v>
      </c>
      <c r="C372" t="str">
        <f t="shared" si="20"/>
        <v>342856178372</v>
      </c>
      <c r="D372" t="str">
        <f t="shared" si="21"/>
        <v>3798512613372</v>
      </c>
      <c r="E372" t="str">
        <f t="shared" si="22"/>
        <v>Client372</v>
      </c>
      <c r="F372" t="str">
        <f t="shared" si="23"/>
        <v>BOB372</v>
      </c>
      <c r="G372" t="s">
        <v>26</v>
      </c>
      <c r="H372" t="s">
        <v>21</v>
      </c>
      <c r="I372" s="11">
        <v>0</v>
      </c>
      <c r="J372" s="11">
        <v>1726000</v>
      </c>
    </row>
    <row r="373" spans="1:10" hidden="1" x14ac:dyDescent="0.3">
      <c r="A373" s="10">
        <v>46027</v>
      </c>
      <c r="B373" t="s">
        <v>19</v>
      </c>
      <c r="C373" t="str">
        <f t="shared" si="20"/>
        <v>342856178373</v>
      </c>
      <c r="D373" t="str">
        <f t="shared" si="21"/>
        <v>3798512613373</v>
      </c>
      <c r="E373" t="str">
        <f t="shared" si="22"/>
        <v>Client373</v>
      </c>
      <c r="F373" t="str">
        <f t="shared" si="23"/>
        <v>BOB373</v>
      </c>
      <c r="G373" t="s">
        <v>26</v>
      </c>
      <c r="H373" t="s">
        <v>21</v>
      </c>
      <c r="I373" s="11">
        <v>0</v>
      </c>
      <c r="J373" s="11">
        <v>7825000</v>
      </c>
    </row>
    <row r="374" spans="1:10" hidden="1" x14ac:dyDescent="0.3">
      <c r="A374" s="10">
        <v>46027</v>
      </c>
      <c r="B374" t="s">
        <v>19</v>
      </c>
      <c r="C374" t="str">
        <f t="shared" si="20"/>
        <v>342856178374</v>
      </c>
      <c r="D374" t="str">
        <f t="shared" si="21"/>
        <v>3798512613374</v>
      </c>
      <c r="E374" t="str">
        <f t="shared" si="22"/>
        <v>Client374</v>
      </c>
      <c r="F374" t="str">
        <f t="shared" si="23"/>
        <v>BOB374</v>
      </c>
      <c r="G374" t="s">
        <v>26</v>
      </c>
      <c r="H374" t="s">
        <v>21</v>
      </c>
      <c r="I374" s="11">
        <v>0</v>
      </c>
      <c r="J374" s="11">
        <v>856000</v>
      </c>
    </row>
    <row r="375" spans="1:10" hidden="1" x14ac:dyDescent="0.3">
      <c r="A375" s="10">
        <v>46027</v>
      </c>
      <c r="B375" t="s">
        <v>19</v>
      </c>
      <c r="C375" t="str">
        <f t="shared" si="20"/>
        <v>342856178375</v>
      </c>
      <c r="D375" t="str">
        <f t="shared" si="21"/>
        <v>3798512613375</v>
      </c>
      <c r="E375" t="str">
        <f t="shared" si="22"/>
        <v>Client375</v>
      </c>
      <c r="F375" t="str">
        <f t="shared" si="23"/>
        <v>BOB375</v>
      </c>
      <c r="G375" t="s">
        <v>26</v>
      </c>
      <c r="H375" t="s">
        <v>21</v>
      </c>
      <c r="I375" s="11">
        <v>0</v>
      </c>
      <c r="J375" s="11">
        <v>4411000</v>
      </c>
    </row>
    <row r="376" spans="1:10" hidden="1" x14ac:dyDescent="0.3">
      <c r="A376" s="10">
        <v>46027</v>
      </c>
      <c r="B376" t="s">
        <v>19</v>
      </c>
      <c r="C376" t="str">
        <f t="shared" si="20"/>
        <v>342856178376</v>
      </c>
      <c r="D376" t="str">
        <f t="shared" si="21"/>
        <v>3798512613376</v>
      </c>
      <c r="E376" t="str">
        <f t="shared" si="22"/>
        <v>Client376</v>
      </c>
      <c r="F376" t="str">
        <f t="shared" si="23"/>
        <v>BOB376</v>
      </c>
      <c r="G376" t="s">
        <v>26</v>
      </c>
      <c r="H376" t="s">
        <v>21</v>
      </c>
      <c r="I376" s="11">
        <v>0</v>
      </c>
      <c r="J376" s="11">
        <v>1003000</v>
      </c>
    </row>
    <row r="377" spans="1:10" hidden="1" x14ac:dyDescent="0.3">
      <c r="A377" s="10">
        <v>46027</v>
      </c>
      <c r="B377" t="s">
        <v>19</v>
      </c>
      <c r="C377" t="str">
        <f t="shared" si="20"/>
        <v>342856178377</v>
      </c>
      <c r="D377" t="str">
        <f t="shared" si="21"/>
        <v>3798512613377</v>
      </c>
      <c r="E377" t="str">
        <f t="shared" si="22"/>
        <v>Client377</v>
      </c>
      <c r="F377" t="str">
        <f t="shared" si="23"/>
        <v>BOB377</v>
      </c>
      <c r="G377" t="s">
        <v>26</v>
      </c>
      <c r="H377" t="s">
        <v>21</v>
      </c>
      <c r="I377" s="11">
        <v>0</v>
      </c>
      <c r="J377" s="11">
        <v>5738000</v>
      </c>
    </row>
    <row r="378" spans="1:10" hidden="1" x14ac:dyDescent="0.3">
      <c r="A378" s="10">
        <v>46027</v>
      </c>
      <c r="B378" t="s">
        <v>19</v>
      </c>
      <c r="C378" t="str">
        <f t="shared" si="20"/>
        <v>342856178378</v>
      </c>
      <c r="D378" t="str">
        <f t="shared" si="21"/>
        <v>3798512613378</v>
      </c>
      <c r="E378" t="str">
        <f t="shared" si="22"/>
        <v>Client378</v>
      </c>
      <c r="F378" t="str">
        <f t="shared" si="23"/>
        <v>BOB378</v>
      </c>
      <c r="G378" t="s">
        <v>20</v>
      </c>
      <c r="H378" t="s">
        <v>21</v>
      </c>
      <c r="I378" s="11">
        <v>0</v>
      </c>
      <c r="J378" s="11">
        <v>1170000</v>
      </c>
    </row>
    <row r="379" spans="1:10" hidden="1" x14ac:dyDescent="0.3">
      <c r="A379" s="10">
        <v>46027</v>
      </c>
      <c r="B379" t="s">
        <v>19</v>
      </c>
      <c r="C379" t="str">
        <f t="shared" si="20"/>
        <v>342856178379</v>
      </c>
      <c r="D379" t="str">
        <f t="shared" si="21"/>
        <v>3798512613379</v>
      </c>
      <c r="E379" t="str">
        <f t="shared" si="22"/>
        <v>Client379</v>
      </c>
      <c r="F379" t="str">
        <f t="shared" si="23"/>
        <v>BOB379</v>
      </c>
      <c r="G379" t="s">
        <v>20</v>
      </c>
      <c r="H379" t="s">
        <v>21</v>
      </c>
      <c r="I379" s="11">
        <v>0</v>
      </c>
      <c r="J379" s="11">
        <v>5629400</v>
      </c>
    </row>
    <row r="380" spans="1:10" hidden="1" x14ac:dyDescent="0.3">
      <c r="A380" s="10">
        <v>46027</v>
      </c>
      <c r="B380" t="s">
        <v>19</v>
      </c>
      <c r="C380" t="str">
        <f t="shared" si="20"/>
        <v>342856178380</v>
      </c>
      <c r="D380" t="str">
        <f t="shared" si="21"/>
        <v>3798512613380</v>
      </c>
      <c r="E380" t="str">
        <f t="shared" si="22"/>
        <v>Client380</v>
      </c>
      <c r="F380" t="str">
        <f t="shared" si="23"/>
        <v>BOB380</v>
      </c>
      <c r="G380" t="s">
        <v>20</v>
      </c>
      <c r="H380" t="s">
        <v>21</v>
      </c>
      <c r="I380" s="11">
        <v>0</v>
      </c>
      <c r="J380" s="11">
        <v>403000</v>
      </c>
    </row>
    <row r="381" spans="1:10" hidden="1" x14ac:dyDescent="0.3">
      <c r="A381" s="10">
        <v>46027</v>
      </c>
      <c r="B381" t="s">
        <v>19</v>
      </c>
      <c r="C381" t="str">
        <f t="shared" si="20"/>
        <v>342856178381</v>
      </c>
      <c r="D381" t="str">
        <f t="shared" si="21"/>
        <v>3798512613381</v>
      </c>
      <c r="E381" t="str">
        <f t="shared" si="22"/>
        <v>Client381</v>
      </c>
      <c r="F381" t="str">
        <f t="shared" si="23"/>
        <v>BOB381</v>
      </c>
      <c r="G381" t="s">
        <v>20</v>
      </c>
      <c r="H381" t="s">
        <v>21</v>
      </c>
      <c r="I381" s="11">
        <v>0</v>
      </c>
      <c r="J381" s="11">
        <v>2000000</v>
      </c>
    </row>
    <row r="382" spans="1:10" hidden="1" x14ac:dyDescent="0.3">
      <c r="A382" s="10">
        <v>46027</v>
      </c>
      <c r="B382" t="s">
        <v>19</v>
      </c>
      <c r="C382" t="str">
        <f t="shared" si="20"/>
        <v>342856178382</v>
      </c>
      <c r="D382" t="str">
        <f t="shared" si="21"/>
        <v>3798512613382</v>
      </c>
      <c r="E382" t="str">
        <f t="shared" si="22"/>
        <v>Client382</v>
      </c>
      <c r="F382" t="str">
        <f t="shared" si="23"/>
        <v>BOB382</v>
      </c>
      <c r="G382" t="s">
        <v>20</v>
      </c>
      <c r="H382" t="s">
        <v>21</v>
      </c>
      <c r="I382" s="11">
        <v>0</v>
      </c>
      <c r="J382" s="11">
        <v>2504500</v>
      </c>
    </row>
    <row r="383" spans="1:10" hidden="1" x14ac:dyDescent="0.3">
      <c r="A383" s="10">
        <v>46027</v>
      </c>
      <c r="B383" t="s">
        <v>19</v>
      </c>
      <c r="C383" t="str">
        <f t="shared" si="20"/>
        <v>342856178383</v>
      </c>
      <c r="D383" t="str">
        <f t="shared" si="21"/>
        <v>3798512613383</v>
      </c>
      <c r="E383" t="str">
        <f t="shared" si="22"/>
        <v>Client383</v>
      </c>
      <c r="F383" t="str">
        <f t="shared" si="23"/>
        <v>BOB383</v>
      </c>
      <c r="G383" t="s">
        <v>20</v>
      </c>
      <c r="H383" t="s">
        <v>21</v>
      </c>
      <c r="I383" s="11">
        <v>0</v>
      </c>
      <c r="J383" s="11">
        <v>1000000</v>
      </c>
    </row>
    <row r="384" spans="1:10" hidden="1" x14ac:dyDescent="0.3">
      <c r="A384" s="10">
        <v>46027</v>
      </c>
      <c r="B384" t="s">
        <v>19</v>
      </c>
      <c r="C384" t="str">
        <f t="shared" si="20"/>
        <v>342856178384</v>
      </c>
      <c r="D384" t="str">
        <f t="shared" si="21"/>
        <v>3798512613384</v>
      </c>
      <c r="E384" t="str">
        <f t="shared" si="22"/>
        <v>Client384</v>
      </c>
      <c r="F384" t="str">
        <f t="shared" si="23"/>
        <v>BOB384</v>
      </c>
      <c r="G384" t="s">
        <v>20</v>
      </c>
      <c r="H384" t="s">
        <v>21</v>
      </c>
      <c r="I384" s="11">
        <v>0</v>
      </c>
      <c r="J384" s="11">
        <v>1200000</v>
      </c>
    </row>
    <row r="385" spans="1:10" hidden="1" x14ac:dyDescent="0.3">
      <c r="A385" s="10">
        <v>46027</v>
      </c>
      <c r="B385" t="s">
        <v>19</v>
      </c>
      <c r="C385" t="str">
        <f t="shared" si="20"/>
        <v>342856178385</v>
      </c>
      <c r="D385" t="str">
        <f t="shared" si="21"/>
        <v>3798512613385</v>
      </c>
      <c r="E385" t="str">
        <f t="shared" si="22"/>
        <v>Client385</v>
      </c>
      <c r="F385" t="str">
        <f t="shared" si="23"/>
        <v>BOB385</v>
      </c>
      <c r="G385" t="s">
        <v>20</v>
      </c>
      <c r="H385" t="s">
        <v>21</v>
      </c>
      <c r="I385" s="11">
        <v>0</v>
      </c>
      <c r="J385" s="11">
        <v>2000000</v>
      </c>
    </row>
    <row r="386" spans="1:10" hidden="1" x14ac:dyDescent="0.3">
      <c r="A386" s="10">
        <v>46027</v>
      </c>
      <c r="B386" t="s">
        <v>19</v>
      </c>
      <c r="C386" t="str">
        <f t="shared" ref="C386:C449" si="24" xml:space="preserve"> "342856178" &amp; ROW()</f>
        <v>342856178386</v>
      </c>
      <c r="D386" t="str">
        <f t="shared" ref="D386:D449" si="25" xml:space="preserve"> "3798512613" &amp; ROW()</f>
        <v>3798512613386</v>
      </c>
      <c r="E386" t="str">
        <f t="shared" ref="E386:E449" si="26">"Client"&amp;ROW()</f>
        <v>Client386</v>
      </c>
      <c r="F386" t="str">
        <f t="shared" ref="F386:F449" si="27">"BOB"&amp;ROW()</f>
        <v>BOB386</v>
      </c>
      <c r="G386" t="s">
        <v>20</v>
      </c>
      <c r="H386" t="s">
        <v>21</v>
      </c>
      <c r="I386" s="11">
        <v>0</v>
      </c>
      <c r="J386" s="11">
        <v>5400000</v>
      </c>
    </row>
    <row r="387" spans="1:10" hidden="1" x14ac:dyDescent="0.3">
      <c r="A387" s="10">
        <v>46027</v>
      </c>
      <c r="B387" t="s">
        <v>19</v>
      </c>
      <c r="C387" t="str">
        <f t="shared" si="24"/>
        <v>342856178387</v>
      </c>
      <c r="D387" t="str">
        <f t="shared" si="25"/>
        <v>3798512613387</v>
      </c>
      <c r="E387" t="str">
        <f t="shared" si="26"/>
        <v>Client387</v>
      </c>
      <c r="F387" t="str">
        <f t="shared" si="27"/>
        <v>BOB387</v>
      </c>
      <c r="G387" t="s">
        <v>20</v>
      </c>
      <c r="H387" t="s">
        <v>21</v>
      </c>
      <c r="I387" s="11">
        <v>0</v>
      </c>
      <c r="J387" s="11">
        <v>3000000</v>
      </c>
    </row>
    <row r="388" spans="1:10" hidden="1" x14ac:dyDescent="0.3">
      <c r="A388" s="10">
        <v>46027</v>
      </c>
      <c r="B388" t="s">
        <v>19</v>
      </c>
      <c r="C388" t="str">
        <f t="shared" si="24"/>
        <v>342856178388</v>
      </c>
      <c r="D388" t="str">
        <f t="shared" si="25"/>
        <v>3798512613388</v>
      </c>
      <c r="E388" t="str">
        <f t="shared" si="26"/>
        <v>Client388</v>
      </c>
      <c r="F388" t="str">
        <f t="shared" si="27"/>
        <v>BOB388</v>
      </c>
      <c r="G388" t="s">
        <v>20</v>
      </c>
      <c r="H388" t="s">
        <v>21</v>
      </c>
      <c r="I388" s="11">
        <v>0</v>
      </c>
      <c r="J388" s="11">
        <v>3000000</v>
      </c>
    </row>
    <row r="389" spans="1:10" hidden="1" x14ac:dyDescent="0.3">
      <c r="A389" s="10">
        <v>46027</v>
      </c>
      <c r="B389" t="s">
        <v>19</v>
      </c>
      <c r="C389" t="str">
        <f t="shared" si="24"/>
        <v>342856178389</v>
      </c>
      <c r="D389" t="str">
        <f t="shared" si="25"/>
        <v>3798512613389</v>
      </c>
      <c r="E389" t="str">
        <f t="shared" si="26"/>
        <v>Client389</v>
      </c>
      <c r="F389" t="str">
        <f t="shared" si="27"/>
        <v>BOB389</v>
      </c>
      <c r="G389" t="s">
        <v>20</v>
      </c>
      <c r="H389" t="s">
        <v>21</v>
      </c>
      <c r="I389" s="11">
        <v>0</v>
      </c>
      <c r="J389" s="11">
        <v>3000000</v>
      </c>
    </row>
    <row r="390" spans="1:10" hidden="1" x14ac:dyDescent="0.3">
      <c r="A390" s="10">
        <v>46027</v>
      </c>
      <c r="B390" t="s">
        <v>19</v>
      </c>
      <c r="C390" t="str">
        <f t="shared" si="24"/>
        <v>342856178390</v>
      </c>
      <c r="D390" t="str">
        <f t="shared" si="25"/>
        <v>3798512613390</v>
      </c>
      <c r="E390" t="str">
        <f t="shared" si="26"/>
        <v>Client390</v>
      </c>
      <c r="F390" t="str">
        <f t="shared" si="27"/>
        <v>BOB390</v>
      </c>
      <c r="G390" t="s">
        <v>20</v>
      </c>
      <c r="H390" t="s">
        <v>21</v>
      </c>
      <c r="I390" s="11">
        <v>0</v>
      </c>
      <c r="J390" s="11">
        <v>3800000</v>
      </c>
    </row>
    <row r="391" spans="1:10" hidden="1" x14ac:dyDescent="0.3">
      <c r="A391" s="10">
        <v>46027</v>
      </c>
      <c r="B391" t="s">
        <v>19</v>
      </c>
      <c r="C391" t="str">
        <f t="shared" si="24"/>
        <v>342856178391</v>
      </c>
      <c r="D391" t="str">
        <f t="shared" si="25"/>
        <v>3798512613391</v>
      </c>
      <c r="E391" t="str">
        <f t="shared" si="26"/>
        <v>Client391</v>
      </c>
      <c r="F391" t="str">
        <f t="shared" si="27"/>
        <v>BOB391</v>
      </c>
      <c r="G391" t="s">
        <v>20</v>
      </c>
      <c r="H391" t="s">
        <v>21</v>
      </c>
      <c r="I391" s="11">
        <v>0</v>
      </c>
      <c r="J391" s="11">
        <v>1000000</v>
      </c>
    </row>
    <row r="392" spans="1:10" hidden="1" x14ac:dyDescent="0.3">
      <c r="A392" s="10">
        <v>46027</v>
      </c>
      <c r="B392" t="s">
        <v>19</v>
      </c>
      <c r="C392" t="str">
        <f t="shared" si="24"/>
        <v>342856178392</v>
      </c>
      <c r="D392" t="str">
        <f t="shared" si="25"/>
        <v>3798512613392</v>
      </c>
      <c r="E392" t="str">
        <f t="shared" si="26"/>
        <v>Client392</v>
      </c>
      <c r="F392" t="str">
        <f t="shared" si="27"/>
        <v>BOB392</v>
      </c>
      <c r="G392" t="s">
        <v>20</v>
      </c>
      <c r="H392" t="s">
        <v>21</v>
      </c>
      <c r="I392" s="11">
        <v>0</v>
      </c>
      <c r="J392" s="11">
        <v>3400000</v>
      </c>
    </row>
    <row r="393" spans="1:10" hidden="1" x14ac:dyDescent="0.3">
      <c r="A393" s="10">
        <v>46027</v>
      </c>
      <c r="B393" t="s">
        <v>19</v>
      </c>
      <c r="C393" t="str">
        <f t="shared" si="24"/>
        <v>342856178393</v>
      </c>
      <c r="D393" t="str">
        <f t="shared" si="25"/>
        <v>3798512613393</v>
      </c>
      <c r="E393" t="str">
        <f t="shared" si="26"/>
        <v>Client393</v>
      </c>
      <c r="F393" t="str">
        <f t="shared" si="27"/>
        <v>BOB393</v>
      </c>
      <c r="G393" t="s">
        <v>22</v>
      </c>
      <c r="H393" t="s">
        <v>23</v>
      </c>
      <c r="I393" s="11">
        <v>0</v>
      </c>
      <c r="J393" s="11">
        <v>2402400</v>
      </c>
    </row>
    <row r="394" spans="1:10" hidden="1" x14ac:dyDescent="0.3">
      <c r="A394" s="10">
        <v>46027</v>
      </c>
      <c r="B394" t="s">
        <v>19</v>
      </c>
      <c r="C394" t="str">
        <f t="shared" si="24"/>
        <v>342856178394</v>
      </c>
      <c r="D394" t="str">
        <f t="shared" si="25"/>
        <v>3798512613394</v>
      </c>
      <c r="E394" t="str">
        <f t="shared" si="26"/>
        <v>Client394</v>
      </c>
      <c r="F394" t="str">
        <f t="shared" si="27"/>
        <v>BOB394</v>
      </c>
      <c r="G394" t="s">
        <v>22</v>
      </c>
      <c r="H394" t="s">
        <v>23</v>
      </c>
      <c r="I394" s="11">
        <v>0</v>
      </c>
      <c r="J394" s="11">
        <v>1601600</v>
      </c>
    </row>
    <row r="395" spans="1:10" hidden="1" x14ac:dyDescent="0.3">
      <c r="A395" s="10">
        <v>46027</v>
      </c>
      <c r="B395" t="s">
        <v>19</v>
      </c>
      <c r="C395" t="str">
        <f t="shared" si="24"/>
        <v>342856178395</v>
      </c>
      <c r="D395" t="str">
        <f t="shared" si="25"/>
        <v>3798512613395</v>
      </c>
      <c r="E395" t="str">
        <f t="shared" si="26"/>
        <v>Client395</v>
      </c>
      <c r="F395" t="str">
        <f t="shared" si="27"/>
        <v>BOB395</v>
      </c>
      <c r="G395" t="s">
        <v>22</v>
      </c>
      <c r="H395" t="s">
        <v>23</v>
      </c>
      <c r="I395" s="11">
        <v>0</v>
      </c>
      <c r="J395" s="11">
        <v>1000000</v>
      </c>
    </row>
    <row r="396" spans="1:10" hidden="1" x14ac:dyDescent="0.3">
      <c r="A396" s="10">
        <v>46027</v>
      </c>
      <c r="B396" t="s">
        <v>19</v>
      </c>
      <c r="C396" t="str">
        <f t="shared" si="24"/>
        <v>342856178396</v>
      </c>
      <c r="D396" t="str">
        <f t="shared" si="25"/>
        <v>3798512613396</v>
      </c>
      <c r="E396" t="str">
        <f t="shared" si="26"/>
        <v>Client396</v>
      </c>
      <c r="F396" t="str">
        <f t="shared" si="27"/>
        <v>BOB396</v>
      </c>
      <c r="G396" t="s">
        <v>22</v>
      </c>
      <c r="H396" t="s">
        <v>23</v>
      </c>
      <c r="I396" s="11">
        <v>0</v>
      </c>
      <c r="J396" s="11">
        <v>500500</v>
      </c>
    </row>
    <row r="397" spans="1:10" hidden="1" x14ac:dyDescent="0.3">
      <c r="A397" s="10">
        <v>46027</v>
      </c>
      <c r="B397" t="s">
        <v>19</v>
      </c>
      <c r="C397" t="str">
        <f t="shared" si="24"/>
        <v>342856178397</v>
      </c>
      <c r="D397" t="str">
        <f t="shared" si="25"/>
        <v>3798512613397</v>
      </c>
      <c r="E397" t="str">
        <f t="shared" si="26"/>
        <v>Client397</v>
      </c>
      <c r="F397" t="str">
        <f t="shared" si="27"/>
        <v>BOB397</v>
      </c>
      <c r="G397" t="s">
        <v>22</v>
      </c>
      <c r="H397" t="s">
        <v>23</v>
      </c>
      <c r="I397" s="11">
        <v>0</v>
      </c>
      <c r="J397" s="11">
        <v>800800</v>
      </c>
    </row>
    <row r="398" spans="1:10" hidden="1" x14ac:dyDescent="0.3">
      <c r="A398" s="10">
        <v>46027</v>
      </c>
      <c r="B398" t="s">
        <v>19</v>
      </c>
      <c r="C398" t="str">
        <f t="shared" si="24"/>
        <v>342856178398</v>
      </c>
      <c r="D398" t="str">
        <f t="shared" si="25"/>
        <v>3798512613398</v>
      </c>
      <c r="E398" t="str">
        <f t="shared" si="26"/>
        <v>Client398</v>
      </c>
      <c r="F398" t="str">
        <f t="shared" si="27"/>
        <v>BOB398</v>
      </c>
      <c r="G398" t="s">
        <v>22</v>
      </c>
      <c r="H398" t="s">
        <v>23</v>
      </c>
      <c r="I398" s="11">
        <v>0</v>
      </c>
      <c r="J398" s="11">
        <v>5905900</v>
      </c>
    </row>
    <row r="399" spans="1:10" hidden="1" x14ac:dyDescent="0.3">
      <c r="A399" s="10">
        <v>46027</v>
      </c>
      <c r="B399" t="s">
        <v>19</v>
      </c>
      <c r="C399" t="str">
        <f t="shared" si="24"/>
        <v>342856178399</v>
      </c>
      <c r="D399" t="str">
        <f t="shared" si="25"/>
        <v>3798512613399</v>
      </c>
      <c r="E399" t="str">
        <f t="shared" si="26"/>
        <v>Client399</v>
      </c>
      <c r="F399" t="str">
        <f t="shared" si="27"/>
        <v>BOB399</v>
      </c>
      <c r="G399" t="s">
        <v>22</v>
      </c>
      <c r="H399" t="s">
        <v>23</v>
      </c>
      <c r="I399" s="11">
        <v>0</v>
      </c>
      <c r="J399" s="11">
        <v>7007000</v>
      </c>
    </row>
    <row r="400" spans="1:10" hidden="1" x14ac:dyDescent="0.3">
      <c r="A400" s="10">
        <v>46027</v>
      </c>
      <c r="B400" t="s">
        <v>19</v>
      </c>
      <c r="C400" t="str">
        <f t="shared" si="24"/>
        <v>342856178400</v>
      </c>
      <c r="D400" t="str">
        <f t="shared" si="25"/>
        <v>3798512613400</v>
      </c>
      <c r="E400" t="str">
        <f t="shared" si="26"/>
        <v>Client400</v>
      </c>
      <c r="F400" t="str">
        <f t="shared" si="27"/>
        <v>BOB400</v>
      </c>
      <c r="G400" t="s">
        <v>22</v>
      </c>
      <c r="H400" t="s">
        <v>23</v>
      </c>
      <c r="I400" s="11">
        <v>0</v>
      </c>
      <c r="J400" s="11">
        <v>16516500</v>
      </c>
    </row>
    <row r="401" spans="1:10" hidden="1" x14ac:dyDescent="0.3">
      <c r="A401" s="10">
        <v>46027</v>
      </c>
      <c r="B401" t="s">
        <v>19</v>
      </c>
      <c r="C401" t="str">
        <f t="shared" si="24"/>
        <v>342856178401</v>
      </c>
      <c r="D401" t="str">
        <f t="shared" si="25"/>
        <v>3798512613401</v>
      </c>
      <c r="E401" t="str">
        <f t="shared" si="26"/>
        <v>Client401</v>
      </c>
      <c r="F401" t="str">
        <f t="shared" si="27"/>
        <v>BOB401</v>
      </c>
      <c r="G401" t="s">
        <v>22</v>
      </c>
      <c r="H401" t="s">
        <v>23</v>
      </c>
      <c r="I401" s="11">
        <v>0</v>
      </c>
      <c r="J401" s="11">
        <v>9009000</v>
      </c>
    </row>
    <row r="402" spans="1:10" hidden="1" x14ac:dyDescent="0.3">
      <c r="A402" s="10">
        <v>46027</v>
      </c>
      <c r="B402" t="s">
        <v>19</v>
      </c>
      <c r="C402" t="str">
        <f t="shared" si="24"/>
        <v>342856178402</v>
      </c>
      <c r="D402" t="str">
        <f t="shared" si="25"/>
        <v>3798512613402</v>
      </c>
      <c r="E402" t="str">
        <f t="shared" si="26"/>
        <v>Client402</v>
      </c>
      <c r="F402" t="str">
        <f t="shared" si="27"/>
        <v>BOB402</v>
      </c>
      <c r="G402" t="s">
        <v>22</v>
      </c>
      <c r="H402" t="s">
        <v>23</v>
      </c>
      <c r="I402" s="11">
        <v>0</v>
      </c>
      <c r="J402" s="11">
        <v>5000000</v>
      </c>
    </row>
    <row r="403" spans="1:10" hidden="1" x14ac:dyDescent="0.3">
      <c r="A403" s="10">
        <v>46027</v>
      </c>
      <c r="B403" t="s">
        <v>19</v>
      </c>
      <c r="C403" t="str">
        <f t="shared" si="24"/>
        <v>342856178403</v>
      </c>
      <c r="D403" t="str">
        <f t="shared" si="25"/>
        <v>3798512613403</v>
      </c>
      <c r="E403" t="str">
        <f t="shared" si="26"/>
        <v>Client403</v>
      </c>
      <c r="F403" t="str">
        <f t="shared" si="27"/>
        <v>BOB403</v>
      </c>
      <c r="G403" t="s">
        <v>22</v>
      </c>
      <c r="H403" t="s">
        <v>23</v>
      </c>
      <c r="I403" s="11">
        <v>0</v>
      </c>
      <c r="J403" s="11">
        <v>500500</v>
      </c>
    </row>
    <row r="404" spans="1:10" hidden="1" x14ac:dyDescent="0.3">
      <c r="A404" s="10">
        <v>46027</v>
      </c>
      <c r="B404" t="s">
        <v>19</v>
      </c>
      <c r="C404" t="str">
        <f t="shared" si="24"/>
        <v>342856178404</v>
      </c>
      <c r="D404" t="str">
        <f t="shared" si="25"/>
        <v>3798512613404</v>
      </c>
      <c r="E404" t="str">
        <f t="shared" si="26"/>
        <v>Client404</v>
      </c>
      <c r="F404" t="str">
        <f t="shared" si="27"/>
        <v>BOB404</v>
      </c>
      <c r="G404" t="s">
        <v>22</v>
      </c>
      <c r="H404" t="s">
        <v>23</v>
      </c>
      <c r="I404" s="11">
        <v>0</v>
      </c>
      <c r="J404" s="11">
        <v>300300</v>
      </c>
    </row>
    <row r="405" spans="1:10" hidden="1" x14ac:dyDescent="0.3">
      <c r="A405" s="10">
        <v>46027</v>
      </c>
      <c r="B405" t="s">
        <v>19</v>
      </c>
      <c r="C405" t="str">
        <f t="shared" si="24"/>
        <v>342856178405</v>
      </c>
      <c r="D405" t="str">
        <f t="shared" si="25"/>
        <v>3798512613405</v>
      </c>
      <c r="E405" t="str">
        <f t="shared" si="26"/>
        <v>Client405</v>
      </c>
      <c r="F405" t="str">
        <f t="shared" si="27"/>
        <v>BOB405</v>
      </c>
      <c r="G405" t="s">
        <v>22</v>
      </c>
      <c r="H405" t="s">
        <v>23</v>
      </c>
      <c r="I405" s="11">
        <v>0</v>
      </c>
      <c r="J405" s="11">
        <v>2202200</v>
      </c>
    </row>
    <row r="406" spans="1:10" hidden="1" x14ac:dyDescent="0.3">
      <c r="A406" s="10">
        <v>46027</v>
      </c>
      <c r="B406" t="s">
        <v>19</v>
      </c>
      <c r="C406" t="str">
        <f t="shared" si="24"/>
        <v>342856178406</v>
      </c>
      <c r="D406" t="str">
        <f t="shared" si="25"/>
        <v>3798512613406</v>
      </c>
      <c r="E406" t="str">
        <f t="shared" si="26"/>
        <v>Client406</v>
      </c>
      <c r="F406" t="str">
        <f t="shared" si="27"/>
        <v>BOB406</v>
      </c>
      <c r="G406" t="s">
        <v>22</v>
      </c>
      <c r="H406" t="s">
        <v>23</v>
      </c>
      <c r="I406" s="11">
        <v>0</v>
      </c>
      <c r="J406" s="11">
        <v>1001000</v>
      </c>
    </row>
    <row r="407" spans="1:10" hidden="1" x14ac:dyDescent="0.3">
      <c r="A407" s="10">
        <v>46027</v>
      </c>
      <c r="B407" t="s">
        <v>19</v>
      </c>
      <c r="C407" t="str">
        <f t="shared" si="24"/>
        <v>342856178407</v>
      </c>
      <c r="D407" t="str">
        <f t="shared" si="25"/>
        <v>3798512613407</v>
      </c>
      <c r="E407" t="str">
        <f t="shared" si="26"/>
        <v>Client407</v>
      </c>
      <c r="F407" t="str">
        <f t="shared" si="27"/>
        <v>BOB407</v>
      </c>
      <c r="G407" t="s">
        <v>22</v>
      </c>
      <c r="H407" t="s">
        <v>23</v>
      </c>
      <c r="I407" s="11">
        <v>0</v>
      </c>
      <c r="J407" s="11">
        <v>5005000</v>
      </c>
    </row>
    <row r="408" spans="1:10" hidden="1" x14ac:dyDescent="0.3">
      <c r="A408" s="10">
        <v>46027</v>
      </c>
      <c r="B408" t="s">
        <v>19</v>
      </c>
      <c r="C408" t="str">
        <f t="shared" si="24"/>
        <v>342856178408</v>
      </c>
      <c r="D408" t="str">
        <f t="shared" si="25"/>
        <v>3798512613408</v>
      </c>
      <c r="E408" t="str">
        <f t="shared" si="26"/>
        <v>Client408</v>
      </c>
      <c r="F408" t="str">
        <f t="shared" si="27"/>
        <v>BOB408</v>
      </c>
      <c r="G408" t="s">
        <v>22</v>
      </c>
      <c r="H408" t="s">
        <v>23</v>
      </c>
      <c r="I408" s="11">
        <v>0</v>
      </c>
      <c r="J408" s="11">
        <v>700700</v>
      </c>
    </row>
    <row r="409" spans="1:10" hidden="1" x14ac:dyDescent="0.3">
      <c r="A409" s="10">
        <v>46027</v>
      </c>
      <c r="B409" t="s">
        <v>19</v>
      </c>
      <c r="C409" t="str">
        <f t="shared" si="24"/>
        <v>342856178409</v>
      </c>
      <c r="D409" t="str">
        <f t="shared" si="25"/>
        <v>3798512613409</v>
      </c>
      <c r="E409" t="str">
        <f t="shared" si="26"/>
        <v>Client409</v>
      </c>
      <c r="F409" t="str">
        <f t="shared" si="27"/>
        <v>BOB409</v>
      </c>
      <c r="G409" t="s">
        <v>22</v>
      </c>
      <c r="H409" t="s">
        <v>23</v>
      </c>
      <c r="I409" s="11">
        <v>0</v>
      </c>
      <c r="J409" s="11">
        <v>13013000</v>
      </c>
    </row>
    <row r="410" spans="1:10" hidden="1" x14ac:dyDescent="0.3">
      <c r="A410" s="10">
        <v>46027</v>
      </c>
      <c r="B410" t="s">
        <v>19</v>
      </c>
      <c r="C410" t="str">
        <f t="shared" si="24"/>
        <v>342856178410</v>
      </c>
      <c r="D410" t="str">
        <f t="shared" si="25"/>
        <v>3798512613410</v>
      </c>
      <c r="E410" t="str">
        <f t="shared" si="26"/>
        <v>Client410</v>
      </c>
      <c r="F410" t="str">
        <f t="shared" si="27"/>
        <v>BOB410</v>
      </c>
      <c r="G410" t="s">
        <v>22</v>
      </c>
      <c r="H410" t="s">
        <v>23</v>
      </c>
      <c r="I410" s="11">
        <v>0</v>
      </c>
      <c r="J410" s="11">
        <v>8008000</v>
      </c>
    </row>
    <row r="411" spans="1:10" hidden="1" x14ac:dyDescent="0.3">
      <c r="A411" s="10">
        <v>46027</v>
      </c>
      <c r="B411" t="s">
        <v>19</v>
      </c>
      <c r="C411" t="str">
        <f t="shared" si="24"/>
        <v>342856178411</v>
      </c>
      <c r="D411" t="str">
        <f t="shared" si="25"/>
        <v>3798512613411</v>
      </c>
      <c r="E411" t="str">
        <f t="shared" si="26"/>
        <v>Client411</v>
      </c>
      <c r="F411" t="str">
        <f t="shared" si="27"/>
        <v>BOB411</v>
      </c>
      <c r="G411" t="s">
        <v>22</v>
      </c>
      <c r="H411" t="s">
        <v>23</v>
      </c>
      <c r="I411" s="11">
        <v>0</v>
      </c>
      <c r="J411" s="11">
        <v>800800</v>
      </c>
    </row>
    <row r="412" spans="1:10" hidden="1" x14ac:dyDescent="0.3">
      <c r="A412" s="10">
        <v>46027</v>
      </c>
      <c r="B412" t="s">
        <v>19</v>
      </c>
      <c r="C412" t="str">
        <f t="shared" si="24"/>
        <v>342856178412</v>
      </c>
      <c r="D412" t="str">
        <f t="shared" si="25"/>
        <v>3798512613412</v>
      </c>
      <c r="E412" t="str">
        <f t="shared" si="26"/>
        <v>Client412</v>
      </c>
      <c r="F412" t="str">
        <f t="shared" si="27"/>
        <v>BOB412</v>
      </c>
      <c r="G412" t="s">
        <v>22</v>
      </c>
      <c r="H412" t="s">
        <v>23</v>
      </c>
      <c r="I412" s="11">
        <v>0</v>
      </c>
      <c r="J412" s="11">
        <v>500500</v>
      </c>
    </row>
    <row r="413" spans="1:10" hidden="1" x14ac:dyDescent="0.3">
      <c r="A413" s="10">
        <v>46027</v>
      </c>
      <c r="B413" t="s">
        <v>19</v>
      </c>
      <c r="C413" t="str">
        <f t="shared" si="24"/>
        <v>342856178413</v>
      </c>
      <c r="D413" t="str">
        <f t="shared" si="25"/>
        <v>3798512613413</v>
      </c>
      <c r="E413" t="str">
        <f t="shared" si="26"/>
        <v>Client413</v>
      </c>
      <c r="F413" t="str">
        <f t="shared" si="27"/>
        <v>BOB413</v>
      </c>
      <c r="G413" t="s">
        <v>22</v>
      </c>
      <c r="H413" t="s">
        <v>23</v>
      </c>
      <c r="I413" s="11">
        <v>0</v>
      </c>
      <c r="J413" s="11">
        <v>9009000</v>
      </c>
    </row>
    <row r="414" spans="1:10" hidden="1" x14ac:dyDescent="0.3">
      <c r="A414" s="10">
        <v>46027</v>
      </c>
      <c r="B414" t="s">
        <v>19</v>
      </c>
      <c r="C414" t="str">
        <f t="shared" si="24"/>
        <v>342856178414</v>
      </c>
      <c r="D414" t="str">
        <f t="shared" si="25"/>
        <v>3798512613414</v>
      </c>
      <c r="E414" t="str">
        <f t="shared" si="26"/>
        <v>Client414</v>
      </c>
      <c r="F414" t="str">
        <f t="shared" si="27"/>
        <v>BOB414</v>
      </c>
      <c r="G414" t="s">
        <v>22</v>
      </c>
      <c r="H414" t="s">
        <v>23</v>
      </c>
      <c r="I414" s="11">
        <v>0</v>
      </c>
      <c r="J414" s="11">
        <v>500500</v>
      </c>
    </row>
    <row r="415" spans="1:10" hidden="1" x14ac:dyDescent="0.3">
      <c r="A415" s="10">
        <v>46027</v>
      </c>
      <c r="B415" t="s">
        <v>19</v>
      </c>
      <c r="C415" t="str">
        <f t="shared" si="24"/>
        <v>342856178415</v>
      </c>
      <c r="D415" t="str">
        <f t="shared" si="25"/>
        <v>3798512613415</v>
      </c>
      <c r="E415" t="str">
        <f t="shared" si="26"/>
        <v>Client415</v>
      </c>
      <c r="F415" t="str">
        <f t="shared" si="27"/>
        <v>BOB415</v>
      </c>
      <c r="G415" t="s">
        <v>22</v>
      </c>
      <c r="H415" t="s">
        <v>23</v>
      </c>
      <c r="I415" s="11">
        <v>0</v>
      </c>
      <c r="J415" s="11">
        <v>2002000</v>
      </c>
    </row>
    <row r="416" spans="1:10" hidden="1" x14ac:dyDescent="0.3">
      <c r="A416" s="10">
        <v>46027</v>
      </c>
      <c r="B416" t="s">
        <v>19</v>
      </c>
      <c r="C416" t="str">
        <f t="shared" si="24"/>
        <v>342856178416</v>
      </c>
      <c r="D416" t="str">
        <f t="shared" si="25"/>
        <v>3798512613416</v>
      </c>
      <c r="E416" t="str">
        <f t="shared" si="26"/>
        <v>Client416</v>
      </c>
      <c r="F416" t="str">
        <f t="shared" si="27"/>
        <v>BOB416</v>
      </c>
      <c r="G416" t="s">
        <v>22</v>
      </c>
      <c r="H416" t="s">
        <v>23</v>
      </c>
      <c r="I416" s="11">
        <v>0</v>
      </c>
      <c r="J416" s="11">
        <v>2000000</v>
      </c>
    </row>
    <row r="417" spans="1:10" hidden="1" x14ac:dyDescent="0.3">
      <c r="A417" s="10">
        <v>46027</v>
      </c>
      <c r="B417" t="s">
        <v>19</v>
      </c>
      <c r="C417" t="str">
        <f t="shared" si="24"/>
        <v>342856178417</v>
      </c>
      <c r="D417" t="str">
        <f t="shared" si="25"/>
        <v>3798512613417</v>
      </c>
      <c r="E417" t="str">
        <f t="shared" si="26"/>
        <v>Client417</v>
      </c>
      <c r="F417" t="str">
        <f t="shared" si="27"/>
        <v>BOB417</v>
      </c>
      <c r="G417" t="s">
        <v>22</v>
      </c>
      <c r="H417" t="s">
        <v>23</v>
      </c>
      <c r="I417" s="11">
        <v>0</v>
      </c>
      <c r="J417" s="11">
        <v>45000000</v>
      </c>
    </row>
    <row r="418" spans="1:10" hidden="1" x14ac:dyDescent="0.3">
      <c r="A418" s="10">
        <v>46027</v>
      </c>
      <c r="B418" t="s">
        <v>19</v>
      </c>
      <c r="C418" t="str">
        <f t="shared" si="24"/>
        <v>342856178418</v>
      </c>
      <c r="D418" t="str">
        <f t="shared" si="25"/>
        <v>3798512613418</v>
      </c>
      <c r="E418" t="str">
        <f t="shared" si="26"/>
        <v>Client418</v>
      </c>
      <c r="F418" t="str">
        <f t="shared" si="27"/>
        <v>BOB418</v>
      </c>
      <c r="G418" t="s">
        <v>22</v>
      </c>
      <c r="H418" t="s">
        <v>23</v>
      </c>
      <c r="I418" s="11">
        <v>0</v>
      </c>
      <c r="J418" s="11">
        <v>2802800</v>
      </c>
    </row>
    <row r="419" spans="1:10" hidden="1" x14ac:dyDescent="0.3">
      <c r="A419" s="10">
        <v>46027</v>
      </c>
      <c r="B419" t="s">
        <v>19</v>
      </c>
      <c r="C419" t="str">
        <f t="shared" si="24"/>
        <v>342856178419</v>
      </c>
      <c r="D419" t="str">
        <f t="shared" si="25"/>
        <v>3798512613419</v>
      </c>
      <c r="E419" t="str">
        <f t="shared" si="26"/>
        <v>Client419</v>
      </c>
      <c r="F419" t="str">
        <f t="shared" si="27"/>
        <v>BOB419</v>
      </c>
      <c r="G419" t="s">
        <v>22</v>
      </c>
      <c r="H419" t="s">
        <v>23</v>
      </c>
      <c r="I419" s="11">
        <v>0</v>
      </c>
      <c r="J419" s="11">
        <v>3543340</v>
      </c>
    </row>
    <row r="420" spans="1:10" hidden="1" x14ac:dyDescent="0.3">
      <c r="A420" s="10">
        <v>46027</v>
      </c>
      <c r="B420" t="s">
        <v>19</v>
      </c>
      <c r="C420" t="str">
        <f t="shared" si="24"/>
        <v>342856178420</v>
      </c>
      <c r="D420" t="str">
        <f t="shared" si="25"/>
        <v>3798512613420</v>
      </c>
      <c r="E420" t="str">
        <f t="shared" si="26"/>
        <v>Client420</v>
      </c>
      <c r="F420" t="str">
        <f t="shared" si="27"/>
        <v>BOB420</v>
      </c>
      <c r="G420" t="s">
        <v>22</v>
      </c>
      <c r="H420" t="s">
        <v>23</v>
      </c>
      <c r="I420" s="11">
        <v>0</v>
      </c>
      <c r="J420" s="11">
        <v>1000000</v>
      </c>
    </row>
    <row r="421" spans="1:10" hidden="1" x14ac:dyDescent="0.3">
      <c r="A421" s="10">
        <v>46027</v>
      </c>
      <c r="B421" t="s">
        <v>19</v>
      </c>
      <c r="C421" t="str">
        <f t="shared" si="24"/>
        <v>342856178421</v>
      </c>
      <c r="D421" t="str">
        <f t="shared" si="25"/>
        <v>3798512613421</v>
      </c>
      <c r="E421" t="str">
        <f t="shared" si="26"/>
        <v>Client421</v>
      </c>
      <c r="F421" t="str">
        <f t="shared" si="27"/>
        <v>BOB421</v>
      </c>
      <c r="G421" t="s">
        <v>22</v>
      </c>
      <c r="H421" t="s">
        <v>23</v>
      </c>
      <c r="I421" s="11">
        <v>0</v>
      </c>
      <c r="J421" s="11">
        <v>4004000</v>
      </c>
    </row>
    <row r="422" spans="1:10" hidden="1" x14ac:dyDescent="0.3">
      <c r="A422" s="10">
        <v>46027</v>
      </c>
      <c r="B422" t="s">
        <v>19</v>
      </c>
      <c r="C422" t="str">
        <f t="shared" si="24"/>
        <v>342856178422</v>
      </c>
      <c r="D422" t="str">
        <f t="shared" si="25"/>
        <v>3798512613422</v>
      </c>
      <c r="E422" t="str">
        <f t="shared" si="26"/>
        <v>Client422</v>
      </c>
      <c r="F422" t="str">
        <f t="shared" si="27"/>
        <v>BOB422</v>
      </c>
      <c r="G422" t="s">
        <v>22</v>
      </c>
      <c r="H422" t="s">
        <v>23</v>
      </c>
      <c r="I422" s="11">
        <v>0</v>
      </c>
      <c r="J422" s="11">
        <v>500500</v>
      </c>
    </row>
    <row r="423" spans="1:10" hidden="1" x14ac:dyDescent="0.3">
      <c r="A423" s="10">
        <v>46027</v>
      </c>
      <c r="B423" t="s">
        <v>19</v>
      </c>
      <c r="C423" t="str">
        <f t="shared" si="24"/>
        <v>342856178423</v>
      </c>
      <c r="D423" t="str">
        <f t="shared" si="25"/>
        <v>3798512613423</v>
      </c>
      <c r="E423" t="str">
        <f t="shared" si="26"/>
        <v>Client423</v>
      </c>
      <c r="F423" t="str">
        <f t="shared" si="27"/>
        <v>BOB423</v>
      </c>
      <c r="G423" t="s">
        <v>22</v>
      </c>
      <c r="H423" t="s">
        <v>23</v>
      </c>
      <c r="I423" s="11">
        <v>0</v>
      </c>
      <c r="J423" s="11">
        <v>800800</v>
      </c>
    </row>
    <row r="424" spans="1:10" hidden="1" x14ac:dyDescent="0.3">
      <c r="A424" s="10">
        <v>46027</v>
      </c>
      <c r="B424" t="s">
        <v>19</v>
      </c>
      <c r="C424" t="str">
        <f t="shared" si="24"/>
        <v>342856178424</v>
      </c>
      <c r="D424" t="str">
        <f t="shared" si="25"/>
        <v>3798512613424</v>
      </c>
      <c r="E424" t="str">
        <f t="shared" si="26"/>
        <v>Client424</v>
      </c>
      <c r="F424" t="str">
        <f t="shared" si="27"/>
        <v>BOB424</v>
      </c>
      <c r="G424" t="s">
        <v>22</v>
      </c>
      <c r="H424" t="s">
        <v>23</v>
      </c>
      <c r="I424" s="11">
        <v>0</v>
      </c>
      <c r="J424" s="11">
        <v>4400000</v>
      </c>
    </row>
    <row r="425" spans="1:10" hidden="1" x14ac:dyDescent="0.3">
      <c r="A425" s="10">
        <v>46027</v>
      </c>
      <c r="B425" t="s">
        <v>19</v>
      </c>
      <c r="C425" t="str">
        <f t="shared" si="24"/>
        <v>342856178425</v>
      </c>
      <c r="D425" t="str">
        <f t="shared" si="25"/>
        <v>3798512613425</v>
      </c>
      <c r="E425" t="str">
        <f t="shared" si="26"/>
        <v>Client425</v>
      </c>
      <c r="F425" t="str">
        <f t="shared" si="27"/>
        <v>BOB425</v>
      </c>
      <c r="G425" t="s">
        <v>22</v>
      </c>
      <c r="H425" t="s">
        <v>23</v>
      </c>
      <c r="I425" s="11">
        <v>0</v>
      </c>
      <c r="J425" s="11">
        <v>1001000</v>
      </c>
    </row>
    <row r="426" spans="1:10" hidden="1" x14ac:dyDescent="0.3">
      <c r="A426" s="10">
        <v>46027</v>
      </c>
      <c r="B426" t="s">
        <v>19</v>
      </c>
      <c r="C426" t="str">
        <f t="shared" si="24"/>
        <v>342856178426</v>
      </c>
      <c r="D426" t="str">
        <f t="shared" si="25"/>
        <v>3798512613426</v>
      </c>
      <c r="E426" t="str">
        <f t="shared" si="26"/>
        <v>Client426</v>
      </c>
      <c r="F426" t="str">
        <f t="shared" si="27"/>
        <v>BOB426</v>
      </c>
      <c r="G426" t="s">
        <v>22</v>
      </c>
      <c r="H426" t="s">
        <v>23</v>
      </c>
      <c r="I426" s="11">
        <v>0</v>
      </c>
      <c r="J426" s="11">
        <v>1401400</v>
      </c>
    </row>
    <row r="427" spans="1:10" hidden="1" x14ac:dyDescent="0.3">
      <c r="A427" s="10">
        <v>46027</v>
      </c>
      <c r="B427" t="s">
        <v>19</v>
      </c>
      <c r="C427" t="str">
        <f t="shared" si="24"/>
        <v>342856178427</v>
      </c>
      <c r="D427" t="str">
        <f t="shared" si="25"/>
        <v>3798512613427</v>
      </c>
      <c r="E427" t="str">
        <f t="shared" si="26"/>
        <v>Client427</v>
      </c>
      <c r="F427" t="str">
        <f t="shared" si="27"/>
        <v>BOB427</v>
      </c>
      <c r="G427" t="s">
        <v>22</v>
      </c>
      <c r="H427" t="s">
        <v>23</v>
      </c>
      <c r="I427" s="11">
        <v>0</v>
      </c>
      <c r="J427" s="11">
        <v>2402400</v>
      </c>
    </row>
    <row r="428" spans="1:10" hidden="1" x14ac:dyDescent="0.3">
      <c r="A428" s="10">
        <v>46027</v>
      </c>
      <c r="B428" t="s">
        <v>19</v>
      </c>
      <c r="C428" t="str">
        <f t="shared" si="24"/>
        <v>342856178428</v>
      </c>
      <c r="D428" t="str">
        <f t="shared" si="25"/>
        <v>3798512613428</v>
      </c>
      <c r="E428" t="str">
        <f t="shared" si="26"/>
        <v>Client428</v>
      </c>
      <c r="F428" t="str">
        <f t="shared" si="27"/>
        <v>BOB428</v>
      </c>
      <c r="G428" t="s">
        <v>22</v>
      </c>
      <c r="H428" t="s">
        <v>23</v>
      </c>
      <c r="I428" s="11">
        <v>0</v>
      </c>
      <c r="J428" s="11">
        <v>3003000</v>
      </c>
    </row>
    <row r="429" spans="1:10" hidden="1" x14ac:dyDescent="0.3">
      <c r="A429" s="10">
        <v>46027</v>
      </c>
      <c r="B429" t="s">
        <v>19</v>
      </c>
      <c r="C429" t="str">
        <f t="shared" si="24"/>
        <v>342856178429</v>
      </c>
      <c r="D429" t="str">
        <f t="shared" si="25"/>
        <v>3798512613429</v>
      </c>
      <c r="E429" t="str">
        <f t="shared" si="26"/>
        <v>Client429</v>
      </c>
      <c r="F429" t="str">
        <f t="shared" si="27"/>
        <v>BOB429</v>
      </c>
      <c r="G429" t="s">
        <v>22</v>
      </c>
      <c r="H429" t="s">
        <v>23</v>
      </c>
      <c r="I429" s="11">
        <v>0</v>
      </c>
      <c r="J429" s="11">
        <v>3503500</v>
      </c>
    </row>
    <row r="430" spans="1:10" hidden="1" x14ac:dyDescent="0.3">
      <c r="A430" s="10">
        <v>46027</v>
      </c>
      <c r="B430" t="s">
        <v>19</v>
      </c>
      <c r="C430" t="str">
        <f t="shared" si="24"/>
        <v>342856178430</v>
      </c>
      <c r="D430" t="str">
        <f t="shared" si="25"/>
        <v>3798512613430</v>
      </c>
      <c r="E430" t="str">
        <f t="shared" si="26"/>
        <v>Client430</v>
      </c>
      <c r="F430" t="str">
        <f t="shared" si="27"/>
        <v>BOB430</v>
      </c>
      <c r="G430" t="s">
        <v>22</v>
      </c>
      <c r="H430" t="s">
        <v>23</v>
      </c>
      <c r="I430" s="11">
        <v>0</v>
      </c>
      <c r="J430" s="11">
        <v>9309300</v>
      </c>
    </row>
    <row r="431" spans="1:10" hidden="1" x14ac:dyDescent="0.3">
      <c r="A431" s="10">
        <v>46027</v>
      </c>
      <c r="B431" t="s">
        <v>19</v>
      </c>
      <c r="C431" t="str">
        <f t="shared" si="24"/>
        <v>342856178431</v>
      </c>
      <c r="D431" t="str">
        <f t="shared" si="25"/>
        <v>3798512613431</v>
      </c>
      <c r="E431" t="str">
        <f t="shared" si="26"/>
        <v>Client431</v>
      </c>
      <c r="F431" t="str">
        <f t="shared" si="27"/>
        <v>BOB431</v>
      </c>
      <c r="G431" t="s">
        <v>22</v>
      </c>
      <c r="H431" t="s">
        <v>23</v>
      </c>
      <c r="I431" s="11">
        <v>0</v>
      </c>
      <c r="J431" s="11">
        <v>7007000</v>
      </c>
    </row>
    <row r="432" spans="1:10" hidden="1" x14ac:dyDescent="0.3">
      <c r="A432" s="10">
        <v>46027</v>
      </c>
      <c r="B432" t="s">
        <v>19</v>
      </c>
      <c r="C432" t="str">
        <f t="shared" si="24"/>
        <v>342856178432</v>
      </c>
      <c r="D432" t="str">
        <f t="shared" si="25"/>
        <v>3798512613432</v>
      </c>
      <c r="E432" t="str">
        <f t="shared" si="26"/>
        <v>Client432</v>
      </c>
      <c r="F432" t="str">
        <f t="shared" si="27"/>
        <v>BOB432</v>
      </c>
      <c r="G432" t="s">
        <v>22</v>
      </c>
      <c r="H432" t="s">
        <v>23</v>
      </c>
      <c r="I432" s="11">
        <v>0</v>
      </c>
      <c r="J432" s="11">
        <v>850900</v>
      </c>
    </row>
    <row r="433" spans="1:10" hidden="1" x14ac:dyDescent="0.3">
      <c r="A433" s="10">
        <v>46027</v>
      </c>
      <c r="B433" t="s">
        <v>19</v>
      </c>
      <c r="C433" t="str">
        <f t="shared" si="24"/>
        <v>342856178433</v>
      </c>
      <c r="D433" t="str">
        <f t="shared" si="25"/>
        <v>3798512613433</v>
      </c>
      <c r="E433" t="str">
        <f t="shared" si="26"/>
        <v>Client433</v>
      </c>
      <c r="F433" t="str">
        <f t="shared" si="27"/>
        <v>BOB433</v>
      </c>
      <c r="G433" t="s">
        <v>22</v>
      </c>
      <c r="H433" t="s">
        <v>23</v>
      </c>
      <c r="I433" s="11">
        <v>0</v>
      </c>
      <c r="J433" s="11">
        <v>4104100</v>
      </c>
    </row>
    <row r="434" spans="1:10" hidden="1" x14ac:dyDescent="0.3">
      <c r="A434" s="10">
        <v>46027</v>
      </c>
      <c r="B434" t="s">
        <v>19</v>
      </c>
      <c r="C434" t="str">
        <f t="shared" si="24"/>
        <v>342856178434</v>
      </c>
      <c r="D434" t="str">
        <f t="shared" si="25"/>
        <v>3798512613434</v>
      </c>
      <c r="E434" t="str">
        <f t="shared" si="26"/>
        <v>Client434</v>
      </c>
      <c r="F434" t="str">
        <f t="shared" si="27"/>
        <v>BOB434</v>
      </c>
      <c r="G434" t="s">
        <v>22</v>
      </c>
      <c r="H434" t="s">
        <v>23</v>
      </c>
      <c r="I434" s="11">
        <v>0</v>
      </c>
      <c r="J434" s="11">
        <v>1000000</v>
      </c>
    </row>
    <row r="435" spans="1:10" hidden="1" x14ac:dyDescent="0.3">
      <c r="A435" s="10">
        <v>46027</v>
      </c>
      <c r="B435" t="s">
        <v>19</v>
      </c>
      <c r="C435" t="str">
        <f t="shared" si="24"/>
        <v>342856178435</v>
      </c>
      <c r="D435" t="str">
        <f t="shared" si="25"/>
        <v>3798512613435</v>
      </c>
      <c r="E435" t="str">
        <f t="shared" si="26"/>
        <v>Client435</v>
      </c>
      <c r="F435" t="str">
        <f t="shared" si="27"/>
        <v>BOB435</v>
      </c>
      <c r="G435" t="s">
        <v>22</v>
      </c>
      <c r="H435" t="s">
        <v>23</v>
      </c>
      <c r="I435" s="11">
        <v>0</v>
      </c>
      <c r="J435" s="11">
        <v>5455500</v>
      </c>
    </row>
    <row r="436" spans="1:10" hidden="1" x14ac:dyDescent="0.3">
      <c r="A436" s="10">
        <v>46027</v>
      </c>
      <c r="B436" t="s">
        <v>19</v>
      </c>
      <c r="C436" t="str">
        <f t="shared" si="24"/>
        <v>342856178436</v>
      </c>
      <c r="D436" t="str">
        <f t="shared" si="25"/>
        <v>3798512613436</v>
      </c>
      <c r="E436" t="str">
        <f t="shared" si="26"/>
        <v>Client436</v>
      </c>
      <c r="F436" t="str">
        <f t="shared" si="27"/>
        <v>BOB436</v>
      </c>
      <c r="G436" t="s">
        <v>22</v>
      </c>
      <c r="H436" t="s">
        <v>23</v>
      </c>
      <c r="I436" s="11">
        <v>0</v>
      </c>
      <c r="J436" s="11">
        <v>1200000</v>
      </c>
    </row>
    <row r="437" spans="1:10" hidden="1" x14ac:dyDescent="0.3">
      <c r="A437" s="10">
        <v>46027</v>
      </c>
      <c r="B437" t="s">
        <v>19</v>
      </c>
      <c r="C437" t="str">
        <f t="shared" si="24"/>
        <v>342856178437</v>
      </c>
      <c r="D437" t="str">
        <f t="shared" si="25"/>
        <v>3798512613437</v>
      </c>
      <c r="E437" t="str">
        <f t="shared" si="26"/>
        <v>Client437</v>
      </c>
      <c r="F437" t="str">
        <f t="shared" si="27"/>
        <v>BOB437</v>
      </c>
      <c r="G437" t="s">
        <v>22</v>
      </c>
      <c r="H437" t="s">
        <v>23</v>
      </c>
      <c r="I437" s="11">
        <v>0</v>
      </c>
      <c r="J437" s="11">
        <v>1000000</v>
      </c>
    </row>
    <row r="438" spans="1:10" hidden="1" x14ac:dyDescent="0.3">
      <c r="A438" s="10">
        <v>46027</v>
      </c>
      <c r="B438" t="s">
        <v>19</v>
      </c>
      <c r="C438" t="str">
        <f t="shared" si="24"/>
        <v>342856178438</v>
      </c>
      <c r="D438" t="str">
        <f t="shared" si="25"/>
        <v>3798512613438</v>
      </c>
      <c r="E438" t="str">
        <f t="shared" si="26"/>
        <v>Client438</v>
      </c>
      <c r="F438" t="str">
        <f t="shared" si="27"/>
        <v>BOB438</v>
      </c>
      <c r="I438" s="11">
        <v>0</v>
      </c>
      <c r="J438" s="11">
        <v>1000000</v>
      </c>
    </row>
    <row r="439" spans="1:10" hidden="1" x14ac:dyDescent="0.3">
      <c r="A439" s="10">
        <v>46027</v>
      </c>
      <c r="B439" t="s">
        <v>19</v>
      </c>
      <c r="C439" t="str">
        <f t="shared" si="24"/>
        <v>342856178439</v>
      </c>
      <c r="D439" t="str">
        <f t="shared" si="25"/>
        <v>3798512613439</v>
      </c>
      <c r="E439" t="str">
        <f t="shared" si="26"/>
        <v>Client439</v>
      </c>
      <c r="F439" t="str">
        <f t="shared" si="27"/>
        <v>BOB439</v>
      </c>
      <c r="I439" s="11">
        <v>0</v>
      </c>
      <c r="J439" s="11">
        <v>1000000</v>
      </c>
    </row>
    <row r="440" spans="1:10" hidden="1" x14ac:dyDescent="0.3">
      <c r="A440" s="10">
        <v>46027</v>
      </c>
      <c r="B440" t="s">
        <v>19</v>
      </c>
      <c r="C440" t="str">
        <f t="shared" si="24"/>
        <v>342856178440</v>
      </c>
      <c r="D440" t="str">
        <f t="shared" si="25"/>
        <v>3798512613440</v>
      </c>
      <c r="E440" t="str">
        <f t="shared" si="26"/>
        <v>Client440</v>
      </c>
      <c r="F440" t="str">
        <f t="shared" si="27"/>
        <v>BOB440</v>
      </c>
      <c r="I440" s="11">
        <v>0</v>
      </c>
      <c r="J440" s="11">
        <v>3000000</v>
      </c>
    </row>
    <row r="441" spans="1:10" hidden="1" x14ac:dyDescent="0.3">
      <c r="A441" s="10">
        <v>46027</v>
      </c>
      <c r="B441" t="s">
        <v>19</v>
      </c>
      <c r="C441" t="str">
        <f t="shared" si="24"/>
        <v>342856178441</v>
      </c>
      <c r="D441" t="str">
        <f t="shared" si="25"/>
        <v>3798512613441</v>
      </c>
      <c r="E441" t="str">
        <f t="shared" si="26"/>
        <v>Client441</v>
      </c>
      <c r="F441" t="str">
        <f t="shared" si="27"/>
        <v>BOB441</v>
      </c>
      <c r="I441" s="11">
        <v>0</v>
      </c>
      <c r="J441" s="11">
        <v>8504500</v>
      </c>
    </row>
    <row r="442" spans="1:10" hidden="1" x14ac:dyDescent="0.3">
      <c r="A442" s="10">
        <v>46027</v>
      </c>
      <c r="B442" t="s">
        <v>19</v>
      </c>
      <c r="C442" t="str">
        <f t="shared" si="24"/>
        <v>342856178442</v>
      </c>
      <c r="D442" t="str">
        <f t="shared" si="25"/>
        <v>3798512613442</v>
      </c>
      <c r="E442" t="str">
        <f t="shared" si="26"/>
        <v>Client442</v>
      </c>
      <c r="F442" t="str">
        <f t="shared" si="27"/>
        <v>BOB442</v>
      </c>
      <c r="I442" s="11">
        <v>0</v>
      </c>
      <c r="J442" s="11">
        <v>2000000</v>
      </c>
    </row>
    <row r="443" spans="1:10" hidden="1" x14ac:dyDescent="0.3">
      <c r="A443" s="10">
        <v>46027</v>
      </c>
      <c r="B443" t="s">
        <v>19</v>
      </c>
      <c r="C443" t="str">
        <f t="shared" si="24"/>
        <v>342856178443</v>
      </c>
      <c r="D443" t="str">
        <f t="shared" si="25"/>
        <v>3798512613443</v>
      </c>
      <c r="E443" t="str">
        <f t="shared" si="26"/>
        <v>Client443</v>
      </c>
      <c r="F443" t="str">
        <f t="shared" si="27"/>
        <v>BOB443</v>
      </c>
      <c r="I443" s="11">
        <v>0</v>
      </c>
      <c r="J443" s="11">
        <v>2003000</v>
      </c>
    </row>
    <row r="444" spans="1:10" hidden="1" x14ac:dyDescent="0.3">
      <c r="A444" s="10">
        <v>46027</v>
      </c>
      <c r="B444" t="s">
        <v>19</v>
      </c>
      <c r="C444" t="str">
        <f t="shared" si="24"/>
        <v>342856178444</v>
      </c>
      <c r="D444" t="str">
        <f t="shared" si="25"/>
        <v>3798512613444</v>
      </c>
      <c r="E444" t="str">
        <f t="shared" si="26"/>
        <v>Client444</v>
      </c>
      <c r="F444" t="str">
        <f t="shared" si="27"/>
        <v>BOB444</v>
      </c>
      <c r="I444" s="11">
        <v>0</v>
      </c>
      <c r="J444" s="11">
        <v>1800000</v>
      </c>
    </row>
    <row r="445" spans="1:10" hidden="1" x14ac:dyDescent="0.3">
      <c r="A445" s="10">
        <v>46027</v>
      </c>
      <c r="B445" t="s">
        <v>19</v>
      </c>
      <c r="C445" t="str">
        <f t="shared" si="24"/>
        <v>342856178445</v>
      </c>
      <c r="D445" t="str">
        <f t="shared" si="25"/>
        <v>3798512613445</v>
      </c>
      <c r="E445" t="str">
        <f t="shared" si="26"/>
        <v>Client445</v>
      </c>
      <c r="F445" t="str">
        <f t="shared" si="27"/>
        <v>BOB445</v>
      </c>
      <c r="I445" s="11">
        <v>0</v>
      </c>
      <c r="J445" s="11">
        <v>2000000</v>
      </c>
    </row>
    <row r="446" spans="1:10" hidden="1" x14ac:dyDescent="0.3">
      <c r="A446" s="10">
        <v>46027</v>
      </c>
      <c r="B446" t="s">
        <v>19</v>
      </c>
      <c r="C446" t="str">
        <f t="shared" si="24"/>
        <v>342856178446</v>
      </c>
      <c r="D446" t="str">
        <f t="shared" si="25"/>
        <v>3798512613446</v>
      </c>
      <c r="E446" t="str">
        <f t="shared" si="26"/>
        <v>Client446</v>
      </c>
      <c r="F446" t="str">
        <f t="shared" si="27"/>
        <v>BOB446</v>
      </c>
      <c r="I446" s="11">
        <v>0</v>
      </c>
      <c r="J446" s="11">
        <v>2500000</v>
      </c>
    </row>
    <row r="447" spans="1:10" hidden="1" x14ac:dyDescent="0.3">
      <c r="A447" s="10">
        <v>46027</v>
      </c>
      <c r="B447" t="s">
        <v>19</v>
      </c>
      <c r="C447" t="str">
        <f t="shared" si="24"/>
        <v>342856178447</v>
      </c>
      <c r="D447" t="str">
        <f t="shared" si="25"/>
        <v>3798512613447</v>
      </c>
      <c r="E447" t="str">
        <f t="shared" si="26"/>
        <v>Client447</v>
      </c>
      <c r="F447" t="str">
        <f t="shared" si="27"/>
        <v>BOB447</v>
      </c>
      <c r="I447" s="11">
        <v>0</v>
      </c>
      <c r="J447" s="11">
        <v>500000</v>
      </c>
    </row>
    <row r="448" spans="1:10" hidden="1" x14ac:dyDescent="0.3">
      <c r="A448" s="10">
        <v>46027</v>
      </c>
      <c r="B448" t="s">
        <v>19</v>
      </c>
      <c r="C448" t="str">
        <f t="shared" si="24"/>
        <v>342856178448</v>
      </c>
      <c r="D448" t="str">
        <f t="shared" si="25"/>
        <v>3798512613448</v>
      </c>
      <c r="E448" t="str">
        <f t="shared" si="26"/>
        <v>Client448</v>
      </c>
      <c r="F448" t="str">
        <f t="shared" si="27"/>
        <v>BOB448</v>
      </c>
      <c r="I448" s="11">
        <v>0</v>
      </c>
      <c r="J448" s="11">
        <v>1400000</v>
      </c>
    </row>
    <row r="449" spans="1:10" hidden="1" x14ac:dyDescent="0.3">
      <c r="A449" s="10">
        <v>46027</v>
      </c>
      <c r="B449" t="s">
        <v>19</v>
      </c>
      <c r="C449" t="str">
        <f t="shared" si="24"/>
        <v>342856178449</v>
      </c>
      <c r="D449" t="str">
        <f t="shared" si="25"/>
        <v>3798512613449</v>
      </c>
      <c r="E449" t="str">
        <f t="shared" si="26"/>
        <v>Client449</v>
      </c>
      <c r="F449" t="str">
        <f t="shared" si="27"/>
        <v>BOB449</v>
      </c>
      <c r="I449" s="11">
        <v>0</v>
      </c>
      <c r="J449" s="11">
        <v>601500</v>
      </c>
    </row>
    <row r="450" spans="1:10" hidden="1" x14ac:dyDescent="0.3">
      <c r="A450" s="10">
        <v>46027</v>
      </c>
      <c r="B450" t="s">
        <v>19</v>
      </c>
      <c r="C450" t="str">
        <f t="shared" ref="C450:C459" si="28" xml:space="preserve"> "342856178" &amp; ROW()</f>
        <v>342856178450</v>
      </c>
      <c r="D450" t="str">
        <f t="shared" ref="D450:D459" si="29" xml:space="preserve"> "3798512613" &amp; ROW()</f>
        <v>3798512613450</v>
      </c>
      <c r="E450" t="str">
        <f t="shared" ref="E450:E459" si="30">"Client"&amp;ROW()</f>
        <v>Client450</v>
      </c>
      <c r="F450" t="str">
        <f t="shared" ref="F450:F459" si="31">"BOB"&amp;ROW()</f>
        <v>BOB450</v>
      </c>
      <c r="I450" s="11">
        <v>0</v>
      </c>
      <c r="J450" s="11">
        <v>2000000</v>
      </c>
    </row>
    <row r="451" spans="1:10" hidden="1" x14ac:dyDescent="0.3">
      <c r="A451" s="10">
        <v>46027</v>
      </c>
      <c r="B451" t="s">
        <v>19</v>
      </c>
      <c r="C451" t="str">
        <f t="shared" si="28"/>
        <v>342856178451</v>
      </c>
      <c r="D451" t="str">
        <f t="shared" si="29"/>
        <v>3798512613451</v>
      </c>
      <c r="E451" t="str">
        <f t="shared" si="30"/>
        <v>Client451</v>
      </c>
      <c r="F451" t="str">
        <f t="shared" si="31"/>
        <v>BOB451</v>
      </c>
      <c r="I451" s="11">
        <v>0</v>
      </c>
      <c r="J451" s="11">
        <v>1400000</v>
      </c>
    </row>
    <row r="452" spans="1:10" hidden="1" x14ac:dyDescent="0.3">
      <c r="A452" s="10">
        <v>46027</v>
      </c>
      <c r="B452" t="s">
        <v>19</v>
      </c>
      <c r="C452" t="str">
        <f t="shared" si="28"/>
        <v>342856178452</v>
      </c>
      <c r="D452" t="str">
        <f t="shared" si="29"/>
        <v>3798512613452</v>
      </c>
      <c r="E452" t="str">
        <f t="shared" si="30"/>
        <v>Client452</v>
      </c>
      <c r="F452" t="str">
        <f t="shared" si="31"/>
        <v>BOB452</v>
      </c>
      <c r="I452" s="11">
        <v>0</v>
      </c>
      <c r="J452" s="11">
        <v>1000000</v>
      </c>
    </row>
    <row r="453" spans="1:10" hidden="1" x14ac:dyDescent="0.3">
      <c r="A453" s="10">
        <v>46027</v>
      </c>
      <c r="B453" t="s">
        <v>19</v>
      </c>
      <c r="C453" t="str">
        <f t="shared" si="28"/>
        <v>342856178453</v>
      </c>
      <c r="D453" t="str">
        <f t="shared" si="29"/>
        <v>3798512613453</v>
      </c>
      <c r="E453" t="str">
        <f t="shared" si="30"/>
        <v>Client453</v>
      </c>
      <c r="F453" t="str">
        <f t="shared" si="31"/>
        <v>BOB453</v>
      </c>
      <c r="G453" t="s">
        <v>20</v>
      </c>
      <c r="H453" t="s">
        <v>21</v>
      </c>
      <c r="I453" s="11">
        <v>0</v>
      </c>
      <c r="J453" s="11">
        <v>660000</v>
      </c>
    </row>
    <row r="454" spans="1:10" hidden="1" x14ac:dyDescent="0.3">
      <c r="A454" s="10">
        <v>46027</v>
      </c>
      <c r="B454" t="s">
        <v>19</v>
      </c>
      <c r="C454" t="str">
        <f t="shared" si="28"/>
        <v>342856178454</v>
      </c>
      <c r="D454" t="str">
        <f t="shared" si="29"/>
        <v>3798512613454</v>
      </c>
      <c r="E454" t="str">
        <f t="shared" si="30"/>
        <v>Client454</v>
      </c>
      <c r="F454" t="str">
        <f t="shared" si="31"/>
        <v>BOB454</v>
      </c>
      <c r="G454" t="s">
        <v>20</v>
      </c>
      <c r="H454" t="s">
        <v>21</v>
      </c>
      <c r="I454" s="11">
        <v>0</v>
      </c>
      <c r="J454" s="11">
        <v>300000</v>
      </c>
    </row>
    <row r="455" spans="1:10" hidden="1" x14ac:dyDescent="0.3">
      <c r="A455" s="10">
        <v>46027</v>
      </c>
      <c r="B455" t="s">
        <v>19</v>
      </c>
      <c r="C455" t="str">
        <f t="shared" si="28"/>
        <v>342856178455</v>
      </c>
      <c r="D455" t="str">
        <f t="shared" si="29"/>
        <v>3798512613455</v>
      </c>
      <c r="E455" t="str">
        <f t="shared" si="30"/>
        <v>Client455</v>
      </c>
      <c r="F455" t="str">
        <f t="shared" si="31"/>
        <v>BOB455</v>
      </c>
      <c r="G455" t="s">
        <v>20</v>
      </c>
      <c r="H455" t="s">
        <v>21</v>
      </c>
      <c r="I455" s="11">
        <v>0</v>
      </c>
      <c r="J455" s="11">
        <v>1100000</v>
      </c>
    </row>
    <row r="456" spans="1:10" hidden="1" x14ac:dyDescent="0.3">
      <c r="A456" s="10">
        <v>46027</v>
      </c>
      <c r="B456" t="s">
        <v>19</v>
      </c>
      <c r="C456" t="str">
        <f t="shared" si="28"/>
        <v>342856178456</v>
      </c>
      <c r="D456" t="str">
        <f t="shared" si="29"/>
        <v>3798512613456</v>
      </c>
      <c r="E456" t="str">
        <f t="shared" si="30"/>
        <v>Client456</v>
      </c>
      <c r="F456" t="str">
        <f t="shared" si="31"/>
        <v>BOB456</v>
      </c>
      <c r="G456" t="s">
        <v>20</v>
      </c>
      <c r="H456" t="s">
        <v>21</v>
      </c>
      <c r="I456" s="11">
        <v>0</v>
      </c>
      <c r="J456" s="11">
        <v>400000</v>
      </c>
    </row>
    <row r="457" spans="1:10" hidden="1" x14ac:dyDescent="0.3">
      <c r="A457" s="10">
        <v>46027</v>
      </c>
      <c r="B457" t="s">
        <v>19</v>
      </c>
      <c r="C457" t="str">
        <f t="shared" si="28"/>
        <v>342856178457</v>
      </c>
      <c r="D457" t="str">
        <f t="shared" si="29"/>
        <v>3798512613457</v>
      </c>
      <c r="E457" t="str">
        <f t="shared" si="30"/>
        <v>Client457</v>
      </c>
      <c r="F457" t="str">
        <f t="shared" si="31"/>
        <v>BOB457</v>
      </c>
      <c r="G457" t="s">
        <v>20</v>
      </c>
      <c r="H457" t="s">
        <v>21</v>
      </c>
      <c r="I457" s="11">
        <v>0</v>
      </c>
      <c r="J457" s="11">
        <v>950000</v>
      </c>
    </row>
    <row r="458" spans="1:10" hidden="1" x14ac:dyDescent="0.3">
      <c r="A458" s="10">
        <v>46027</v>
      </c>
      <c r="B458" t="s">
        <v>19</v>
      </c>
      <c r="C458" t="str">
        <f t="shared" si="28"/>
        <v>342856178458</v>
      </c>
      <c r="D458" t="str">
        <f t="shared" si="29"/>
        <v>3798512613458</v>
      </c>
      <c r="E458" t="str">
        <f t="shared" si="30"/>
        <v>Client458</v>
      </c>
      <c r="F458" t="str">
        <f t="shared" si="31"/>
        <v>BOB458</v>
      </c>
      <c r="G458" t="s">
        <v>20</v>
      </c>
      <c r="H458" t="s">
        <v>21</v>
      </c>
      <c r="I458" s="11">
        <v>0</v>
      </c>
      <c r="J458" s="11">
        <v>3100000</v>
      </c>
    </row>
    <row r="459" spans="1:10" hidden="1" x14ac:dyDescent="0.3">
      <c r="C459" t="str">
        <f t="shared" si="28"/>
        <v>342856178459</v>
      </c>
      <c r="D459" t="str">
        <f t="shared" si="29"/>
        <v>3798512613459</v>
      </c>
      <c r="E459" t="str">
        <f t="shared" si="30"/>
        <v>Client459</v>
      </c>
      <c r="F459" t="str">
        <f t="shared" si="31"/>
        <v>BOB459</v>
      </c>
      <c r="I459" s="11"/>
      <c r="J459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8"/>
  <sheetViews>
    <sheetView topLeftCell="A184" workbookViewId="0">
      <selection activeCell="R14" sqref="R14"/>
    </sheetView>
  </sheetViews>
  <sheetFormatPr defaultColWidth="11.5546875" defaultRowHeight="14.4" x14ac:dyDescent="0.3"/>
  <cols>
    <col min="1" max="1" width="13.5546875" customWidth="1"/>
    <col min="2" max="4" width="12.6640625" customWidth="1"/>
    <col min="5" max="5" width="13.21875" customWidth="1"/>
    <col min="6" max="7" width="12.6640625" customWidth="1"/>
    <col min="8" max="8" width="17.109375" customWidth="1"/>
    <col min="9" max="9" width="17.5546875" customWidth="1"/>
    <col min="10" max="13" width="16.6640625" customWidth="1"/>
    <col min="14" max="14" width="19.109375" customWidth="1"/>
  </cols>
  <sheetData>
    <row r="1" spans="1:14" x14ac:dyDescent="0.3">
      <c r="A1" s="16"/>
      <c r="B1" s="16"/>
      <c r="C1" s="16"/>
      <c r="D1" s="16"/>
      <c r="E1" s="16"/>
      <c r="F1" s="16"/>
      <c r="G1" s="16"/>
      <c r="H1" s="17" t="s">
        <v>80</v>
      </c>
      <c r="I1" s="16"/>
      <c r="J1" s="18" t="s">
        <v>81</v>
      </c>
      <c r="K1" s="16"/>
      <c r="L1" s="19" t="s">
        <v>82</v>
      </c>
      <c r="M1" s="16"/>
      <c r="N1" s="16"/>
    </row>
    <row r="2" spans="1:14" x14ac:dyDescent="0.3">
      <c r="A2" s="12" t="s">
        <v>30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13</v>
      </c>
      <c r="G2" s="12" t="s">
        <v>14</v>
      </c>
      <c r="H2" s="12" t="s">
        <v>35</v>
      </c>
      <c r="I2" s="12" t="s">
        <v>36</v>
      </c>
      <c r="J2" s="12" t="s">
        <v>37</v>
      </c>
      <c r="K2" s="12" t="s">
        <v>38</v>
      </c>
      <c r="L2" s="12" t="s">
        <v>39</v>
      </c>
      <c r="M2" s="12" t="s">
        <v>40</v>
      </c>
      <c r="N2" s="12" t="s">
        <v>41</v>
      </c>
    </row>
    <row r="3" spans="1:14" x14ac:dyDescent="0.3">
      <c r="A3" s="10">
        <v>46027</v>
      </c>
      <c r="B3" t="s">
        <v>19</v>
      </c>
      <c r="C3" t="str">
        <f t="shared" ref="C3:C66" si="0" xml:space="preserve"> "3798512613" &amp; ROW()</f>
        <v>37985126133</v>
      </c>
      <c r="D3" t="str">
        <f t="shared" ref="D3:D66" si="1">"Client"&amp;ROW()</f>
        <v>Client3</v>
      </c>
      <c r="E3" t="str">
        <f t="shared" ref="E3:E66" si="2">"BOB"&amp;ROW()</f>
        <v>BOB3</v>
      </c>
      <c r="F3" t="s">
        <v>26</v>
      </c>
      <c r="G3" s="11" t="s">
        <v>21</v>
      </c>
      <c r="H3" s="11">
        <v>0</v>
      </c>
      <c r="I3" s="11">
        <v>0</v>
      </c>
      <c r="J3" s="11">
        <v>0</v>
      </c>
      <c r="K3" s="11">
        <v>0</v>
      </c>
      <c r="L3" s="11">
        <v>5751500</v>
      </c>
      <c r="M3" s="11">
        <v>6475400</v>
      </c>
      <c r="N3" s="11">
        <v>0</v>
      </c>
    </row>
    <row r="4" spans="1:14" x14ac:dyDescent="0.3">
      <c r="A4" s="10">
        <v>46027</v>
      </c>
      <c r="B4" t="s">
        <v>19</v>
      </c>
      <c r="C4" t="str">
        <f t="shared" si="0"/>
        <v>37985126134</v>
      </c>
      <c r="D4" t="str">
        <f t="shared" si="1"/>
        <v>Client4</v>
      </c>
      <c r="E4" t="str">
        <f t="shared" si="2"/>
        <v>BOB4</v>
      </c>
      <c r="F4" t="s">
        <v>25</v>
      </c>
      <c r="G4" s="11" t="s">
        <v>21</v>
      </c>
      <c r="H4" s="11">
        <v>0</v>
      </c>
      <c r="I4" s="11">
        <v>0</v>
      </c>
      <c r="J4" s="11">
        <v>0</v>
      </c>
      <c r="K4" s="11">
        <v>0</v>
      </c>
      <c r="L4" s="11">
        <v>3673800</v>
      </c>
      <c r="M4" s="11">
        <v>3697500</v>
      </c>
      <c r="N4" s="11">
        <v>0</v>
      </c>
    </row>
    <row r="5" spans="1:14" x14ac:dyDescent="0.3">
      <c r="A5" s="10">
        <v>46027</v>
      </c>
      <c r="B5" t="s">
        <v>19</v>
      </c>
      <c r="C5" t="str">
        <f t="shared" si="0"/>
        <v>37985126135</v>
      </c>
      <c r="D5" t="str">
        <f t="shared" si="1"/>
        <v>Client5</v>
      </c>
      <c r="E5" t="str">
        <f t="shared" si="2"/>
        <v>BOB5</v>
      </c>
      <c r="F5" t="s">
        <v>42</v>
      </c>
      <c r="G5" s="11" t="s">
        <v>43</v>
      </c>
      <c r="H5" s="11">
        <v>0</v>
      </c>
      <c r="I5" s="11">
        <v>0</v>
      </c>
      <c r="J5" s="11">
        <v>0</v>
      </c>
      <c r="K5" s="11">
        <v>0</v>
      </c>
      <c r="L5" s="11">
        <v>120000</v>
      </c>
      <c r="M5" s="11">
        <v>708100</v>
      </c>
      <c r="N5" s="11">
        <v>0</v>
      </c>
    </row>
    <row r="6" spans="1:14" x14ac:dyDescent="0.3">
      <c r="A6" s="10">
        <v>46027</v>
      </c>
      <c r="B6" t="s">
        <v>19</v>
      </c>
      <c r="C6" t="str">
        <f t="shared" si="0"/>
        <v>37985126136</v>
      </c>
      <c r="D6" t="str">
        <f t="shared" si="1"/>
        <v>Client6</v>
      </c>
      <c r="E6" t="str">
        <f t="shared" si="2"/>
        <v>BOB6</v>
      </c>
      <c r="F6" t="s">
        <v>25</v>
      </c>
      <c r="G6" s="11" t="s">
        <v>21</v>
      </c>
      <c r="H6" s="11">
        <v>0</v>
      </c>
      <c r="I6" s="11">
        <v>0</v>
      </c>
      <c r="J6" s="11">
        <v>2350000</v>
      </c>
      <c r="K6" s="11">
        <v>1028000</v>
      </c>
      <c r="L6" s="11">
        <v>4576800</v>
      </c>
      <c r="M6" s="11">
        <v>3338000</v>
      </c>
      <c r="N6" s="11">
        <v>0</v>
      </c>
    </row>
    <row r="7" spans="1:14" x14ac:dyDescent="0.3">
      <c r="A7" s="10">
        <v>46027</v>
      </c>
      <c r="B7" t="s">
        <v>19</v>
      </c>
      <c r="C7" t="str">
        <f t="shared" si="0"/>
        <v>37985126137</v>
      </c>
      <c r="D7" t="str">
        <f t="shared" si="1"/>
        <v>Client7</v>
      </c>
      <c r="E7" t="str">
        <f t="shared" si="2"/>
        <v>BOB7</v>
      </c>
      <c r="F7" t="s">
        <v>20</v>
      </c>
      <c r="G7" s="11" t="s">
        <v>21</v>
      </c>
      <c r="H7" s="11">
        <v>0</v>
      </c>
      <c r="I7" s="11">
        <v>0</v>
      </c>
      <c r="J7" s="11">
        <v>0</v>
      </c>
      <c r="K7" s="11">
        <v>0</v>
      </c>
      <c r="L7" s="11">
        <v>23365400</v>
      </c>
      <c r="M7" s="11">
        <v>23173500</v>
      </c>
      <c r="N7" s="11">
        <v>0</v>
      </c>
    </row>
    <row r="8" spans="1:14" x14ac:dyDescent="0.3">
      <c r="A8" s="10">
        <v>46027</v>
      </c>
      <c r="B8" t="s">
        <v>19</v>
      </c>
      <c r="C8" t="str">
        <f t="shared" si="0"/>
        <v>37985126138</v>
      </c>
      <c r="D8" t="str">
        <f t="shared" si="1"/>
        <v>Client8</v>
      </c>
      <c r="E8" t="str">
        <f t="shared" si="2"/>
        <v>BOB8</v>
      </c>
      <c r="F8" t="s">
        <v>20</v>
      </c>
      <c r="G8" s="11" t="s">
        <v>21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10000</v>
      </c>
      <c r="N8" s="11">
        <v>0</v>
      </c>
    </row>
    <row r="9" spans="1:14" x14ac:dyDescent="0.3">
      <c r="A9" s="10">
        <v>46027</v>
      </c>
      <c r="B9" t="s">
        <v>19</v>
      </c>
      <c r="C9" t="str">
        <f t="shared" si="0"/>
        <v>37985126139</v>
      </c>
      <c r="D9" t="str">
        <f t="shared" si="1"/>
        <v>Client9</v>
      </c>
      <c r="E9" t="str">
        <f t="shared" si="2"/>
        <v>BOB9</v>
      </c>
      <c r="F9" t="s">
        <v>24</v>
      </c>
      <c r="G9" s="11" t="s">
        <v>21</v>
      </c>
      <c r="H9" s="11">
        <v>0</v>
      </c>
      <c r="I9" s="11">
        <v>0</v>
      </c>
      <c r="J9" s="11">
        <v>0</v>
      </c>
      <c r="K9" s="11">
        <v>1001500</v>
      </c>
      <c r="L9" s="11">
        <v>5354600</v>
      </c>
      <c r="M9" s="11">
        <v>8238500</v>
      </c>
      <c r="N9" s="11">
        <v>0</v>
      </c>
    </row>
    <row r="10" spans="1:14" x14ac:dyDescent="0.3">
      <c r="A10" s="10">
        <v>46027</v>
      </c>
      <c r="B10" t="s">
        <v>19</v>
      </c>
      <c r="C10" t="str">
        <f t="shared" si="0"/>
        <v>379851261310</v>
      </c>
      <c r="D10" t="str">
        <f t="shared" si="1"/>
        <v>Client10</v>
      </c>
      <c r="E10" t="str">
        <f t="shared" si="2"/>
        <v>BOB10</v>
      </c>
      <c r="F10" t="s">
        <v>20</v>
      </c>
      <c r="G10" s="11" t="s">
        <v>21</v>
      </c>
      <c r="H10" s="11">
        <v>0</v>
      </c>
      <c r="I10" s="11">
        <v>0</v>
      </c>
      <c r="J10" s="11">
        <v>0</v>
      </c>
      <c r="K10" s="11">
        <v>0</v>
      </c>
      <c r="L10" s="11">
        <v>4992100</v>
      </c>
      <c r="M10" s="11">
        <v>4875500</v>
      </c>
      <c r="N10" s="11">
        <v>0</v>
      </c>
    </row>
    <row r="11" spans="1:14" x14ac:dyDescent="0.3">
      <c r="A11" s="10">
        <v>46027</v>
      </c>
      <c r="B11" t="s">
        <v>19</v>
      </c>
      <c r="C11" t="str">
        <f t="shared" si="0"/>
        <v>379851261311</v>
      </c>
      <c r="D11" t="str">
        <f t="shared" si="1"/>
        <v>Client11</v>
      </c>
      <c r="E11" t="str">
        <f t="shared" si="2"/>
        <v>BOB11</v>
      </c>
      <c r="F11" t="s">
        <v>20</v>
      </c>
      <c r="G11" s="11" t="s">
        <v>21</v>
      </c>
      <c r="H11" s="11">
        <v>0</v>
      </c>
      <c r="I11" s="11">
        <v>1000000</v>
      </c>
      <c r="J11" s="11">
        <v>0</v>
      </c>
      <c r="K11" s="11">
        <v>2104000</v>
      </c>
      <c r="L11" s="11">
        <v>12354500</v>
      </c>
      <c r="M11" s="11">
        <v>13631200</v>
      </c>
      <c r="N11" s="11">
        <v>0</v>
      </c>
    </row>
    <row r="12" spans="1:14" x14ac:dyDescent="0.3">
      <c r="A12" s="10">
        <v>46027</v>
      </c>
      <c r="B12" t="s">
        <v>19</v>
      </c>
      <c r="C12" t="str">
        <f t="shared" si="0"/>
        <v>379851261312</v>
      </c>
      <c r="D12" t="str">
        <f t="shared" si="1"/>
        <v>Client12</v>
      </c>
      <c r="E12" t="str">
        <f t="shared" si="2"/>
        <v>BOB12</v>
      </c>
      <c r="F12" t="s">
        <v>44</v>
      </c>
      <c r="G12" s="11" t="s">
        <v>44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</row>
    <row r="13" spans="1:14" x14ac:dyDescent="0.3">
      <c r="A13" s="10">
        <v>46027</v>
      </c>
      <c r="B13" t="s">
        <v>19</v>
      </c>
      <c r="C13" t="str">
        <f t="shared" si="0"/>
        <v>379851261313</v>
      </c>
      <c r="D13" t="str">
        <f t="shared" si="1"/>
        <v>Client13</v>
      </c>
      <c r="E13" t="str">
        <f t="shared" si="2"/>
        <v>BOB13</v>
      </c>
      <c r="F13" t="s">
        <v>25</v>
      </c>
      <c r="G13" s="11" t="s">
        <v>21</v>
      </c>
      <c r="H13" s="11">
        <v>0</v>
      </c>
      <c r="I13" s="11">
        <v>0</v>
      </c>
      <c r="J13" s="11">
        <v>0</v>
      </c>
      <c r="K13" s="11">
        <v>0</v>
      </c>
      <c r="L13" s="11">
        <v>21285700</v>
      </c>
      <c r="M13" s="11">
        <v>19600100</v>
      </c>
      <c r="N13" s="11">
        <v>0</v>
      </c>
    </row>
    <row r="14" spans="1:14" x14ac:dyDescent="0.3">
      <c r="A14" s="10">
        <v>46027</v>
      </c>
      <c r="B14" t="s">
        <v>19</v>
      </c>
      <c r="C14" t="str">
        <f t="shared" si="0"/>
        <v>379851261314</v>
      </c>
      <c r="D14" t="str">
        <f t="shared" si="1"/>
        <v>Client14</v>
      </c>
      <c r="E14" t="str">
        <f t="shared" si="2"/>
        <v>BOB14</v>
      </c>
      <c r="F14" t="s">
        <v>25</v>
      </c>
      <c r="G14" s="11" t="s">
        <v>21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</row>
    <row r="15" spans="1:14" x14ac:dyDescent="0.3">
      <c r="A15" s="10">
        <v>46027</v>
      </c>
      <c r="B15" t="s">
        <v>19</v>
      </c>
      <c r="C15" t="str">
        <f t="shared" si="0"/>
        <v>379851261315</v>
      </c>
      <c r="D15" t="str">
        <f t="shared" si="1"/>
        <v>Client15</v>
      </c>
      <c r="E15" t="str">
        <f t="shared" si="2"/>
        <v>BOB15</v>
      </c>
      <c r="F15" t="s">
        <v>26</v>
      </c>
      <c r="G15" s="11" t="s">
        <v>21</v>
      </c>
      <c r="H15" s="11">
        <v>0</v>
      </c>
      <c r="I15" s="11">
        <v>0</v>
      </c>
      <c r="J15" s="11">
        <v>4500000</v>
      </c>
      <c r="K15" s="11">
        <v>6000000</v>
      </c>
      <c r="L15" s="11">
        <v>55973400</v>
      </c>
      <c r="M15" s="11">
        <v>59901700</v>
      </c>
      <c r="N15" s="11">
        <v>0</v>
      </c>
    </row>
    <row r="16" spans="1:14" x14ac:dyDescent="0.3">
      <c r="A16" s="10">
        <v>46027</v>
      </c>
      <c r="B16" t="s">
        <v>19</v>
      </c>
      <c r="C16" t="str">
        <f t="shared" si="0"/>
        <v>379851261316</v>
      </c>
      <c r="D16" t="str">
        <f t="shared" si="1"/>
        <v>Client16</v>
      </c>
      <c r="E16" t="str">
        <f t="shared" si="2"/>
        <v>BOB16</v>
      </c>
      <c r="F16" t="s">
        <v>22</v>
      </c>
      <c r="G16" s="11" t="s">
        <v>23</v>
      </c>
      <c r="H16" s="11">
        <v>0</v>
      </c>
      <c r="I16" s="11">
        <v>0</v>
      </c>
      <c r="J16" s="11">
        <v>0</v>
      </c>
      <c r="K16" s="11">
        <v>1601600</v>
      </c>
      <c r="L16" s="11">
        <v>12192300</v>
      </c>
      <c r="M16" s="11">
        <v>11633300</v>
      </c>
      <c r="N16" s="11">
        <v>0</v>
      </c>
    </row>
    <row r="17" spans="1:14" x14ac:dyDescent="0.3">
      <c r="A17" s="10">
        <v>46027</v>
      </c>
      <c r="B17" t="s">
        <v>19</v>
      </c>
      <c r="C17" t="str">
        <f t="shared" si="0"/>
        <v>379851261317</v>
      </c>
      <c r="D17" t="str">
        <f t="shared" si="1"/>
        <v>Client17</v>
      </c>
      <c r="E17" t="str">
        <f t="shared" si="2"/>
        <v>BOB17</v>
      </c>
      <c r="F17" t="s">
        <v>24</v>
      </c>
      <c r="G17" s="11" t="s">
        <v>21</v>
      </c>
      <c r="H17" s="11">
        <v>0</v>
      </c>
      <c r="I17" s="11">
        <v>0</v>
      </c>
      <c r="J17" s="11">
        <v>0</v>
      </c>
      <c r="K17" s="11">
        <v>3000000</v>
      </c>
      <c r="L17" s="11">
        <v>11252100</v>
      </c>
      <c r="M17" s="11">
        <v>14179800</v>
      </c>
      <c r="N17" s="11">
        <v>0</v>
      </c>
    </row>
    <row r="18" spans="1:14" x14ac:dyDescent="0.3">
      <c r="A18" s="10">
        <v>46027</v>
      </c>
      <c r="B18" t="s">
        <v>19</v>
      </c>
      <c r="C18" t="str">
        <f t="shared" si="0"/>
        <v>379851261318</v>
      </c>
      <c r="D18" t="str">
        <f t="shared" si="1"/>
        <v>Client18</v>
      </c>
      <c r="E18" t="str">
        <f t="shared" si="2"/>
        <v>BOB18</v>
      </c>
      <c r="F18" t="s">
        <v>25</v>
      </c>
      <c r="G18" s="11" t="s">
        <v>21</v>
      </c>
      <c r="H18" s="11">
        <v>0</v>
      </c>
      <c r="I18" s="11">
        <v>4006000</v>
      </c>
      <c r="J18" s="11">
        <v>0</v>
      </c>
      <c r="K18" s="11">
        <v>0</v>
      </c>
      <c r="L18" s="11">
        <v>37102900</v>
      </c>
      <c r="M18" s="11">
        <v>43569600</v>
      </c>
      <c r="N18" s="11">
        <v>0</v>
      </c>
    </row>
    <row r="19" spans="1:14" x14ac:dyDescent="0.3">
      <c r="A19" s="10">
        <v>46027</v>
      </c>
      <c r="B19" t="s">
        <v>19</v>
      </c>
      <c r="C19" t="str">
        <f t="shared" si="0"/>
        <v>379851261319</v>
      </c>
      <c r="D19" t="str">
        <f t="shared" si="1"/>
        <v>Client19</v>
      </c>
      <c r="E19" t="str">
        <f t="shared" si="2"/>
        <v>BOB19</v>
      </c>
      <c r="F19" t="s">
        <v>24</v>
      </c>
      <c r="G19" s="11" t="s">
        <v>45</v>
      </c>
      <c r="H19" s="11">
        <v>0</v>
      </c>
      <c r="I19" s="11">
        <v>0</v>
      </c>
      <c r="J19" s="11">
        <v>0</v>
      </c>
      <c r="K19" s="11">
        <v>14042200</v>
      </c>
      <c r="L19" s="11">
        <v>22535600</v>
      </c>
      <c r="M19" s="11">
        <v>40411600</v>
      </c>
      <c r="N19" s="11">
        <v>0</v>
      </c>
    </row>
    <row r="20" spans="1:14" x14ac:dyDescent="0.3">
      <c r="A20" s="10">
        <v>46027</v>
      </c>
      <c r="B20" t="s">
        <v>19</v>
      </c>
      <c r="C20" t="str">
        <f t="shared" si="0"/>
        <v>379851261320</v>
      </c>
      <c r="D20" t="str">
        <f t="shared" si="1"/>
        <v>Client20</v>
      </c>
      <c r="E20" t="str">
        <f t="shared" si="2"/>
        <v>BOB20</v>
      </c>
      <c r="F20" t="s">
        <v>24</v>
      </c>
      <c r="G20" s="11" t="s">
        <v>21</v>
      </c>
      <c r="H20" s="11">
        <v>0</v>
      </c>
      <c r="I20" s="11">
        <v>0</v>
      </c>
      <c r="J20" s="11">
        <v>16850000</v>
      </c>
      <c r="K20" s="11">
        <v>13500000</v>
      </c>
      <c r="L20" s="11">
        <v>21921400</v>
      </c>
      <c r="M20" s="11">
        <v>17415200</v>
      </c>
      <c r="N20" s="11">
        <v>0</v>
      </c>
    </row>
    <row r="21" spans="1:14" x14ac:dyDescent="0.3">
      <c r="A21" s="10">
        <v>46027</v>
      </c>
      <c r="B21" t="s">
        <v>19</v>
      </c>
      <c r="C21" t="str">
        <f t="shared" si="0"/>
        <v>379851261321</v>
      </c>
      <c r="D21" t="str">
        <f t="shared" si="1"/>
        <v>Client21</v>
      </c>
      <c r="E21" t="str">
        <f t="shared" si="2"/>
        <v>BOB21</v>
      </c>
      <c r="F21" t="s">
        <v>25</v>
      </c>
      <c r="G21" s="11" t="s">
        <v>21</v>
      </c>
      <c r="H21" s="11">
        <v>0</v>
      </c>
      <c r="I21" s="11">
        <v>0</v>
      </c>
      <c r="J21" s="11">
        <v>14708800</v>
      </c>
      <c r="K21" s="11">
        <v>11345000</v>
      </c>
      <c r="L21" s="11">
        <v>25180600</v>
      </c>
      <c r="M21" s="11">
        <v>25391600</v>
      </c>
      <c r="N21" s="11">
        <v>0</v>
      </c>
    </row>
    <row r="22" spans="1:14" x14ac:dyDescent="0.3">
      <c r="A22" s="10">
        <v>46027</v>
      </c>
      <c r="B22" t="s">
        <v>19</v>
      </c>
      <c r="C22" t="str">
        <f t="shared" si="0"/>
        <v>379851261322</v>
      </c>
      <c r="D22" t="str">
        <f t="shared" si="1"/>
        <v>Client22</v>
      </c>
      <c r="E22" t="str">
        <f t="shared" si="2"/>
        <v>BOB22</v>
      </c>
      <c r="F22" t="s">
        <v>26</v>
      </c>
      <c r="G22" s="11" t="s">
        <v>46</v>
      </c>
      <c r="H22" s="11">
        <v>0</v>
      </c>
      <c r="I22" s="11">
        <v>0</v>
      </c>
      <c r="J22" s="11">
        <v>0</v>
      </c>
      <c r="K22" s="11">
        <v>1003000</v>
      </c>
      <c r="L22" s="11">
        <v>23180600</v>
      </c>
      <c r="M22" s="11">
        <v>21172800</v>
      </c>
      <c r="N22" s="11">
        <v>0</v>
      </c>
    </row>
    <row r="23" spans="1:14" x14ac:dyDescent="0.3">
      <c r="A23" s="10">
        <v>46027</v>
      </c>
      <c r="B23" t="s">
        <v>19</v>
      </c>
      <c r="C23" t="str">
        <f t="shared" si="0"/>
        <v>379851261323</v>
      </c>
      <c r="D23" t="str">
        <f t="shared" si="1"/>
        <v>Client23</v>
      </c>
      <c r="E23" t="str">
        <f t="shared" si="2"/>
        <v>BOB23</v>
      </c>
      <c r="F23" t="s">
        <v>20</v>
      </c>
      <c r="G23" s="11" t="s">
        <v>21</v>
      </c>
      <c r="H23" s="11">
        <v>0</v>
      </c>
      <c r="I23" s="11">
        <v>0</v>
      </c>
      <c r="J23" s="11">
        <v>0</v>
      </c>
      <c r="K23" s="11">
        <v>1000000</v>
      </c>
      <c r="L23" s="11">
        <v>9920200</v>
      </c>
      <c r="M23" s="11">
        <v>12097000</v>
      </c>
      <c r="N23" s="11">
        <v>0</v>
      </c>
    </row>
    <row r="24" spans="1:14" x14ac:dyDescent="0.3">
      <c r="A24" s="10">
        <v>46027</v>
      </c>
      <c r="B24" t="s">
        <v>19</v>
      </c>
      <c r="C24" t="str">
        <f t="shared" si="0"/>
        <v>379851261324</v>
      </c>
      <c r="D24" t="str">
        <f t="shared" si="1"/>
        <v>Client24</v>
      </c>
      <c r="E24" t="str">
        <f t="shared" si="2"/>
        <v>BOB24</v>
      </c>
      <c r="F24" t="s">
        <v>22</v>
      </c>
      <c r="G24" s="11" t="s">
        <v>23</v>
      </c>
      <c r="H24" s="11">
        <v>0</v>
      </c>
      <c r="I24" s="11">
        <v>0</v>
      </c>
      <c r="J24" s="11">
        <v>0</v>
      </c>
      <c r="K24" s="11">
        <v>0</v>
      </c>
      <c r="L24" s="11">
        <v>216400</v>
      </c>
      <c r="M24" s="11">
        <v>0</v>
      </c>
      <c r="N24" s="11">
        <v>0</v>
      </c>
    </row>
    <row r="25" spans="1:14" x14ac:dyDescent="0.3">
      <c r="A25" s="10">
        <v>46027</v>
      </c>
      <c r="B25" t="s">
        <v>19</v>
      </c>
      <c r="C25" t="str">
        <f t="shared" si="0"/>
        <v>379851261325</v>
      </c>
      <c r="D25" t="str">
        <f t="shared" si="1"/>
        <v>Client25</v>
      </c>
      <c r="E25" t="str">
        <f t="shared" si="2"/>
        <v>BOB25</v>
      </c>
      <c r="F25" t="s">
        <v>25</v>
      </c>
      <c r="G25" s="11" t="s">
        <v>21</v>
      </c>
      <c r="H25" s="11">
        <v>0</v>
      </c>
      <c r="I25" s="11">
        <v>0</v>
      </c>
      <c r="J25" s="11">
        <v>2500000</v>
      </c>
      <c r="K25" s="11">
        <v>6801000</v>
      </c>
      <c r="L25" s="11">
        <v>6435800</v>
      </c>
      <c r="M25" s="11">
        <v>10629400</v>
      </c>
      <c r="N25" s="11">
        <v>0</v>
      </c>
    </row>
    <row r="26" spans="1:14" x14ac:dyDescent="0.3">
      <c r="A26" s="10">
        <v>46027</v>
      </c>
      <c r="B26" t="s">
        <v>19</v>
      </c>
      <c r="C26" t="str">
        <f t="shared" si="0"/>
        <v>379851261326</v>
      </c>
      <c r="D26" t="str">
        <f t="shared" si="1"/>
        <v>Client26</v>
      </c>
      <c r="E26" t="str">
        <f t="shared" si="2"/>
        <v>BOB26</v>
      </c>
      <c r="F26" t="s">
        <v>25</v>
      </c>
      <c r="G26" s="11" t="s">
        <v>21</v>
      </c>
      <c r="H26" s="11">
        <v>0</v>
      </c>
      <c r="I26" s="11">
        <v>0</v>
      </c>
      <c r="J26" s="11">
        <v>0</v>
      </c>
      <c r="K26" s="11">
        <v>2800000</v>
      </c>
      <c r="L26" s="11">
        <v>19920800</v>
      </c>
      <c r="M26" s="11">
        <v>23331200</v>
      </c>
      <c r="N26" s="11">
        <v>0</v>
      </c>
    </row>
    <row r="27" spans="1:14" x14ac:dyDescent="0.3">
      <c r="A27" s="10">
        <v>46027</v>
      </c>
      <c r="B27" t="s">
        <v>19</v>
      </c>
      <c r="C27" t="str">
        <f t="shared" si="0"/>
        <v>379851261327</v>
      </c>
      <c r="D27" t="str">
        <f t="shared" si="1"/>
        <v>Client27</v>
      </c>
      <c r="E27" t="str">
        <f t="shared" si="2"/>
        <v>BOB27</v>
      </c>
      <c r="F27" t="s">
        <v>24</v>
      </c>
      <c r="G27" s="11" t="s">
        <v>21</v>
      </c>
      <c r="H27" s="11">
        <v>0</v>
      </c>
      <c r="I27" s="11">
        <v>0</v>
      </c>
      <c r="J27" s="11">
        <v>0</v>
      </c>
      <c r="K27" s="11">
        <v>0</v>
      </c>
      <c r="L27" s="11">
        <v>2864000</v>
      </c>
      <c r="M27" s="11">
        <v>3052500</v>
      </c>
      <c r="N27" s="11">
        <v>0</v>
      </c>
    </row>
    <row r="28" spans="1:14" x14ac:dyDescent="0.3">
      <c r="A28" s="10">
        <v>46027</v>
      </c>
      <c r="B28" t="s">
        <v>19</v>
      </c>
      <c r="C28" t="str">
        <f t="shared" si="0"/>
        <v>379851261328</v>
      </c>
      <c r="D28" t="str">
        <f t="shared" si="1"/>
        <v>Client28</v>
      </c>
      <c r="E28" t="str">
        <f t="shared" si="2"/>
        <v>BOB28</v>
      </c>
      <c r="F28" t="s">
        <v>25</v>
      </c>
      <c r="G28" s="11" t="s">
        <v>21</v>
      </c>
      <c r="H28" s="11">
        <v>0</v>
      </c>
      <c r="I28" s="11">
        <v>0</v>
      </c>
      <c r="J28" s="11">
        <v>0</v>
      </c>
      <c r="K28" s="11">
        <v>0</v>
      </c>
      <c r="L28" s="11">
        <v>20772400</v>
      </c>
      <c r="M28" s="11">
        <v>23473100</v>
      </c>
      <c r="N28" s="11">
        <v>0</v>
      </c>
    </row>
    <row r="29" spans="1:14" x14ac:dyDescent="0.3">
      <c r="A29" s="10">
        <v>46027</v>
      </c>
      <c r="B29" t="s">
        <v>19</v>
      </c>
      <c r="C29" t="str">
        <f t="shared" si="0"/>
        <v>379851261329</v>
      </c>
      <c r="D29" t="str">
        <f t="shared" si="1"/>
        <v>Client29</v>
      </c>
      <c r="E29" t="str">
        <f t="shared" si="2"/>
        <v>BOB29</v>
      </c>
      <c r="F29" t="s">
        <v>22</v>
      </c>
      <c r="G29" s="11" t="s">
        <v>23</v>
      </c>
      <c r="H29" s="11">
        <v>0</v>
      </c>
      <c r="I29" s="11">
        <v>0</v>
      </c>
      <c r="J29" s="11">
        <v>0</v>
      </c>
      <c r="K29" s="11">
        <v>7007000</v>
      </c>
      <c r="L29" s="11">
        <v>3650800</v>
      </c>
      <c r="M29" s="11">
        <v>9391700</v>
      </c>
      <c r="N29" s="11">
        <v>0</v>
      </c>
    </row>
    <row r="30" spans="1:14" x14ac:dyDescent="0.3">
      <c r="A30" s="10">
        <v>46027</v>
      </c>
      <c r="B30" t="s">
        <v>19</v>
      </c>
      <c r="C30" t="str">
        <f t="shared" si="0"/>
        <v>379851261330</v>
      </c>
      <c r="D30" t="str">
        <f t="shared" si="1"/>
        <v>Client30</v>
      </c>
      <c r="E30" t="str">
        <f t="shared" si="2"/>
        <v>BOB30</v>
      </c>
      <c r="F30" t="s">
        <v>25</v>
      </c>
      <c r="G30" s="11" t="s">
        <v>21</v>
      </c>
      <c r="H30" s="11">
        <v>0</v>
      </c>
      <c r="I30" s="11">
        <v>0</v>
      </c>
      <c r="J30" s="11">
        <v>30407100</v>
      </c>
      <c r="K30" s="11">
        <v>6782000</v>
      </c>
      <c r="L30" s="11">
        <v>44606600</v>
      </c>
      <c r="M30" s="11">
        <v>19955900</v>
      </c>
      <c r="N30" s="11">
        <v>0</v>
      </c>
    </row>
    <row r="31" spans="1:14" x14ac:dyDescent="0.3">
      <c r="A31" s="10">
        <v>46027</v>
      </c>
      <c r="B31" t="s">
        <v>19</v>
      </c>
      <c r="C31" t="str">
        <f t="shared" si="0"/>
        <v>379851261331</v>
      </c>
      <c r="D31" t="str">
        <f t="shared" si="1"/>
        <v>Client31</v>
      </c>
      <c r="E31" t="str">
        <f t="shared" si="2"/>
        <v>BOB31</v>
      </c>
      <c r="F31" t="s">
        <v>20</v>
      </c>
      <c r="G31" s="11" t="s">
        <v>21</v>
      </c>
      <c r="H31" s="11">
        <v>0</v>
      </c>
      <c r="I31" s="11">
        <v>0</v>
      </c>
      <c r="J31" s="11">
        <v>0</v>
      </c>
      <c r="K31" s="11">
        <v>0</v>
      </c>
      <c r="L31" s="11">
        <v>24917300</v>
      </c>
      <c r="M31" s="11">
        <v>25285700</v>
      </c>
      <c r="N31" s="11">
        <v>0</v>
      </c>
    </row>
    <row r="32" spans="1:14" x14ac:dyDescent="0.3">
      <c r="A32" s="10">
        <v>46027</v>
      </c>
      <c r="B32" t="s">
        <v>19</v>
      </c>
      <c r="C32" t="str">
        <f t="shared" si="0"/>
        <v>379851261332</v>
      </c>
      <c r="D32" t="str">
        <f t="shared" si="1"/>
        <v>Client32</v>
      </c>
      <c r="E32" t="str">
        <f t="shared" si="2"/>
        <v>BOB32</v>
      </c>
      <c r="F32" t="s">
        <v>24</v>
      </c>
      <c r="G32" s="11" t="s">
        <v>21</v>
      </c>
      <c r="H32" s="11">
        <v>0</v>
      </c>
      <c r="I32" s="11">
        <v>0</v>
      </c>
      <c r="J32" s="11">
        <v>0</v>
      </c>
      <c r="K32" s="11">
        <v>0</v>
      </c>
      <c r="L32" s="11">
        <v>4583500</v>
      </c>
      <c r="M32" s="11">
        <v>5158000</v>
      </c>
      <c r="N32" s="11">
        <v>0</v>
      </c>
    </row>
    <row r="33" spans="1:14" x14ac:dyDescent="0.3">
      <c r="A33" s="10">
        <v>46027</v>
      </c>
      <c r="B33" t="s">
        <v>19</v>
      </c>
      <c r="C33" t="str">
        <f t="shared" si="0"/>
        <v>379851261333</v>
      </c>
      <c r="D33" t="str">
        <f t="shared" si="1"/>
        <v>Client33</v>
      </c>
      <c r="E33" t="str">
        <f t="shared" si="2"/>
        <v>BOB33</v>
      </c>
      <c r="F33" t="s">
        <v>25</v>
      </c>
      <c r="G33" s="11" t="s">
        <v>21</v>
      </c>
      <c r="H33" s="11">
        <v>0</v>
      </c>
      <c r="I33" s="11">
        <v>0</v>
      </c>
      <c r="J33" s="11">
        <v>5700000</v>
      </c>
      <c r="K33" s="11">
        <v>6000000</v>
      </c>
      <c r="L33" s="11">
        <v>9721600</v>
      </c>
      <c r="M33" s="11">
        <v>10503600</v>
      </c>
      <c r="N33" s="11">
        <v>0</v>
      </c>
    </row>
    <row r="34" spans="1:14" x14ac:dyDescent="0.3">
      <c r="A34" s="10">
        <v>46027</v>
      </c>
      <c r="B34" t="s">
        <v>19</v>
      </c>
      <c r="C34" t="str">
        <f t="shared" si="0"/>
        <v>379851261334</v>
      </c>
      <c r="D34" t="str">
        <f t="shared" si="1"/>
        <v>Client34</v>
      </c>
      <c r="E34" t="str">
        <f t="shared" si="2"/>
        <v>BOB34</v>
      </c>
      <c r="F34" t="s">
        <v>25</v>
      </c>
      <c r="G34" s="11" t="s">
        <v>21</v>
      </c>
      <c r="H34" s="11">
        <v>0</v>
      </c>
      <c r="I34" s="11">
        <v>0</v>
      </c>
      <c r="J34" s="11">
        <v>0</v>
      </c>
      <c r="K34" s="11">
        <v>0</v>
      </c>
      <c r="L34" s="11">
        <v>8076400</v>
      </c>
      <c r="M34" s="11">
        <v>8560500</v>
      </c>
      <c r="N34" s="11">
        <v>0</v>
      </c>
    </row>
    <row r="35" spans="1:14" x14ac:dyDescent="0.3">
      <c r="A35" s="10">
        <v>46027</v>
      </c>
      <c r="B35" t="s">
        <v>19</v>
      </c>
      <c r="C35" t="str">
        <f t="shared" si="0"/>
        <v>379851261335</v>
      </c>
      <c r="D35" t="str">
        <f t="shared" si="1"/>
        <v>Client35</v>
      </c>
      <c r="E35" t="str">
        <f t="shared" si="2"/>
        <v>BOB35</v>
      </c>
      <c r="F35" t="s">
        <v>22</v>
      </c>
      <c r="G35" s="11" t="s">
        <v>23</v>
      </c>
      <c r="H35" s="11">
        <v>0</v>
      </c>
      <c r="I35" s="11">
        <v>0</v>
      </c>
      <c r="J35" s="11">
        <v>0</v>
      </c>
      <c r="K35" s="11">
        <v>1000000</v>
      </c>
      <c r="L35" s="11">
        <v>9327300</v>
      </c>
      <c r="M35" s="11">
        <v>13605800</v>
      </c>
      <c r="N35" s="11">
        <v>0</v>
      </c>
    </row>
    <row r="36" spans="1:14" x14ac:dyDescent="0.3">
      <c r="A36" s="10">
        <v>46027</v>
      </c>
      <c r="B36" t="s">
        <v>19</v>
      </c>
      <c r="C36" t="str">
        <f t="shared" si="0"/>
        <v>379851261336</v>
      </c>
      <c r="D36" t="str">
        <f t="shared" si="1"/>
        <v>Client36</v>
      </c>
      <c r="E36" t="str">
        <f t="shared" si="2"/>
        <v>BOB36</v>
      </c>
      <c r="F36" t="s">
        <v>24</v>
      </c>
      <c r="G36" s="11" t="s">
        <v>21</v>
      </c>
      <c r="H36" s="11">
        <v>0</v>
      </c>
      <c r="I36" s="11">
        <v>0</v>
      </c>
      <c r="J36" s="11">
        <v>0</v>
      </c>
      <c r="K36" s="11">
        <v>1420000</v>
      </c>
      <c r="L36" s="11">
        <v>4156600</v>
      </c>
      <c r="M36" s="11">
        <v>6072100</v>
      </c>
      <c r="N36" s="11">
        <v>0</v>
      </c>
    </row>
    <row r="37" spans="1:14" x14ac:dyDescent="0.3">
      <c r="A37" s="10">
        <v>46027</v>
      </c>
      <c r="B37" t="s">
        <v>19</v>
      </c>
      <c r="C37" t="str">
        <f t="shared" si="0"/>
        <v>379851261337</v>
      </c>
      <c r="D37" t="str">
        <f t="shared" si="1"/>
        <v>Client37</v>
      </c>
      <c r="E37" t="str">
        <f t="shared" si="2"/>
        <v>BOB37</v>
      </c>
      <c r="F37" t="s">
        <v>25</v>
      </c>
      <c r="G37" s="11" t="s">
        <v>21</v>
      </c>
      <c r="H37" s="11">
        <v>0</v>
      </c>
      <c r="I37" s="11">
        <v>0</v>
      </c>
      <c r="J37" s="11">
        <v>0</v>
      </c>
      <c r="K37" s="11">
        <v>0</v>
      </c>
      <c r="L37" s="11">
        <v>19821500</v>
      </c>
      <c r="M37" s="11">
        <v>19502700</v>
      </c>
      <c r="N37" s="11">
        <v>0</v>
      </c>
    </row>
    <row r="38" spans="1:14" x14ac:dyDescent="0.3">
      <c r="A38" s="10">
        <v>46027</v>
      </c>
      <c r="B38" t="s">
        <v>19</v>
      </c>
      <c r="C38" t="str">
        <f t="shared" si="0"/>
        <v>379851261338</v>
      </c>
      <c r="D38" t="str">
        <f t="shared" si="1"/>
        <v>Client38</v>
      </c>
      <c r="E38" t="str">
        <f t="shared" si="2"/>
        <v>BOB38</v>
      </c>
      <c r="F38" t="s">
        <v>26</v>
      </c>
      <c r="G38" s="11" t="s">
        <v>47</v>
      </c>
      <c r="H38" s="11">
        <v>0</v>
      </c>
      <c r="I38" s="11">
        <v>0</v>
      </c>
      <c r="J38" s="11">
        <v>1000000</v>
      </c>
      <c r="K38" s="11">
        <v>0</v>
      </c>
      <c r="L38" s="11">
        <v>15646600</v>
      </c>
      <c r="M38" s="11">
        <v>14479400</v>
      </c>
      <c r="N38" s="11">
        <v>0</v>
      </c>
    </row>
    <row r="39" spans="1:14" x14ac:dyDescent="0.3">
      <c r="A39" s="10">
        <v>46027</v>
      </c>
      <c r="B39" t="s">
        <v>19</v>
      </c>
      <c r="C39" t="str">
        <f t="shared" si="0"/>
        <v>379851261339</v>
      </c>
      <c r="D39" t="str">
        <f t="shared" si="1"/>
        <v>Client39</v>
      </c>
      <c r="E39" t="str">
        <f t="shared" si="2"/>
        <v>BOB39</v>
      </c>
      <c r="F39" t="s">
        <v>25</v>
      </c>
      <c r="G39" s="11" t="s">
        <v>21</v>
      </c>
      <c r="H39" s="11">
        <v>0</v>
      </c>
      <c r="I39" s="11">
        <v>0</v>
      </c>
      <c r="J39" s="11">
        <v>0</v>
      </c>
      <c r="K39" s="11">
        <v>0</v>
      </c>
      <c r="L39" s="11">
        <v>6340000</v>
      </c>
      <c r="M39" s="11">
        <v>6358300</v>
      </c>
      <c r="N39" s="11">
        <v>0</v>
      </c>
    </row>
    <row r="40" spans="1:14" x14ac:dyDescent="0.3">
      <c r="A40" s="10">
        <v>46027</v>
      </c>
      <c r="B40" t="s">
        <v>19</v>
      </c>
      <c r="C40" t="str">
        <f t="shared" si="0"/>
        <v>379851261340</v>
      </c>
      <c r="D40" t="str">
        <f t="shared" si="1"/>
        <v>Client40</v>
      </c>
      <c r="E40" t="str">
        <f t="shared" si="2"/>
        <v>BOB40</v>
      </c>
      <c r="F40" t="s">
        <v>25</v>
      </c>
      <c r="G40" s="11" t="s">
        <v>21</v>
      </c>
      <c r="H40" s="11">
        <v>0</v>
      </c>
      <c r="I40" s="11">
        <v>0</v>
      </c>
      <c r="J40" s="11">
        <v>7430000</v>
      </c>
      <c r="K40" s="11">
        <v>2331000</v>
      </c>
      <c r="L40" s="11">
        <v>10740800</v>
      </c>
      <c r="M40" s="11">
        <v>5578500</v>
      </c>
      <c r="N40" s="11">
        <v>0</v>
      </c>
    </row>
    <row r="41" spans="1:14" x14ac:dyDescent="0.3">
      <c r="A41" s="10">
        <v>46027</v>
      </c>
      <c r="B41" t="s">
        <v>19</v>
      </c>
      <c r="C41" t="str">
        <f t="shared" si="0"/>
        <v>379851261341</v>
      </c>
      <c r="D41" t="str">
        <f t="shared" si="1"/>
        <v>Client41</v>
      </c>
      <c r="E41" t="str">
        <f t="shared" si="2"/>
        <v>BOB41</v>
      </c>
      <c r="F41" t="s">
        <v>48</v>
      </c>
      <c r="G41" s="11" t="s">
        <v>49</v>
      </c>
      <c r="H41" s="11">
        <v>0</v>
      </c>
      <c r="I41" s="11">
        <v>0</v>
      </c>
      <c r="J41" s="11">
        <v>0</v>
      </c>
      <c r="K41" s="11">
        <v>3000000</v>
      </c>
      <c r="L41" s="11">
        <v>8703500</v>
      </c>
      <c r="M41" s="11">
        <v>13360900</v>
      </c>
      <c r="N41" s="11">
        <v>0</v>
      </c>
    </row>
    <row r="42" spans="1:14" x14ac:dyDescent="0.3">
      <c r="A42" s="10">
        <v>46027</v>
      </c>
      <c r="B42" t="s">
        <v>19</v>
      </c>
      <c r="C42" t="str">
        <f t="shared" si="0"/>
        <v>379851261342</v>
      </c>
      <c r="D42" t="str">
        <f t="shared" si="1"/>
        <v>Client42</v>
      </c>
      <c r="E42" t="str">
        <f t="shared" si="2"/>
        <v>BOB42</v>
      </c>
      <c r="F42" t="s">
        <v>42</v>
      </c>
      <c r="G42" s="11" t="s">
        <v>50</v>
      </c>
      <c r="H42" s="11">
        <v>0</v>
      </c>
      <c r="I42" s="11">
        <v>0</v>
      </c>
      <c r="J42" s="11">
        <v>0</v>
      </c>
      <c r="K42" s="11">
        <v>5080000</v>
      </c>
      <c r="L42" s="11">
        <v>5679700</v>
      </c>
      <c r="M42" s="11">
        <v>21490900</v>
      </c>
      <c r="N42" s="11">
        <v>0</v>
      </c>
    </row>
    <row r="43" spans="1:14" x14ac:dyDescent="0.3">
      <c r="A43" s="10">
        <v>46027</v>
      </c>
      <c r="B43" t="s">
        <v>19</v>
      </c>
      <c r="C43" t="str">
        <f t="shared" si="0"/>
        <v>379851261343</v>
      </c>
      <c r="D43" t="str">
        <f t="shared" si="1"/>
        <v>Client43</v>
      </c>
      <c r="E43" t="str">
        <f t="shared" si="2"/>
        <v>BOB43</v>
      </c>
      <c r="F43" t="s">
        <v>25</v>
      </c>
      <c r="G43" s="11" t="s">
        <v>21</v>
      </c>
      <c r="H43" s="11">
        <v>0</v>
      </c>
      <c r="I43" s="11">
        <v>0</v>
      </c>
      <c r="J43" s="11">
        <v>3274000</v>
      </c>
      <c r="K43" s="11">
        <v>2810000</v>
      </c>
      <c r="L43" s="11">
        <v>9664200</v>
      </c>
      <c r="M43" s="11">
        <v>9127800</v>
      </c>
      <c r="N43" s="11">
        <v>0</v>
      </c>
    </row>
    <row r="44" spans="1:14" x14ac:dyDescent="0.3">
      <c r="A44" s="10">
        <v>46027</v>
      </c>
      <c r="B44" t="s">
        <v>19</v>
      </c>
      <c r="C44" t="str">
        <f t="shared" si="0"/>
        <v>379851261344</v>
      </c>
      <c r="D44" t="str">
        <f t="shared" si="1"/>
        <v>Client44</v>
      </c>
      <c r="E44" t="str">
        <f t="shared" si="2"/>
        <v>BOB44</v>
      </c>
      <c r="F44" t="s">
        <v>20</v>
      </c>
      <c r="G44" s="11" t="s">
        <v>21</v>
      </c>
      <c r="H44" s="11">
        <v>0</v>
      </c>
      <c r="I44" s="11">
        <v>0</v>
      </c>
      <c r="J44" s="11">
        <v>3421000</v>
      </c>
      <c r="K44" s="11">
        <v>10556000</v>
      </c>
      <c r="L44" s="11">
        <v>20250700</v>
      </c>
      <c r="M44" s="11">
        <v>27235200</v>
      </c>
      <c r="N44" s="11">
        <v>0</v>
      </c>
    </row>
    <row r="45" spans="1:14" x14ac:dyDescent="0.3">
      <c r="A45" s="10">
        <v>46027</v>
      </c>
      <c r="B45" t="s">
        <v>19</v>
      </c>
      <c r="C45" t="str">
        <f t="shared" si="0"/>
        <v>379851261345</v>
      </c>
      <c r="D45" t="str">
        <f t="shared" si="1"/>
        <v>Client45</v>
      </c>
      <c r="E45" t="str">
        <f t="shared" si="2"/>
        <v>BOB45</v>
      </c>
      <c r="F45" t="s">
        <v>26</v>
      </c>
      <c r="G45" s="11" t="s">
        <v>47</v>
      </c>
      <c r="H45" s="11">
        <v>0</v>
      </c>
      <c r="I45" s="11">
        <v>0</v>
      </c>
      <c r="J45" s="11">
        <v>37255000</v>
      </c>
      <c r="K45" s="11">
        <v>430797</v>
      </c>
      <c r="L45" s="11">
        <v>59334700</v>
      </c>
      <c r="M45" s="11">
        <v>3430400</v>
      </c>
      <c r="N45" s="11">
        <v>0</v>
      </c>
    </row>
    <row r="46" spans="1:14" x14ac:dyDescent="0.3">
      <c r="A46" s="10">
        <v>46027</v>
      </c>
      <c r="B46" t="s">
        <v>19</v>
      </c>
      <c r="C46" t="str">
        <f t="shared" si="0"/>
        <v>379851261346</v>
      </c>
      <c r="D46" t="str">
        <f t="shared" si="1"/>
        <v>Client46</v>
      </c>
      <c r="E46" t="str">
        <f t="shared" si="2"/>
        <v>BOB46</v>
      </c>
      <c r="F46" t="s">
        <v>25</v>
      </c>
      <c r="G46" s="11" t="s">
        <v>21</v>
      </c>
      <c r="H46" s="11">
        <v>0</v>
      </c>
      <c r="I46" s="11">
        <v>0</v>
      </c>
      <c r="J46" s="11">
        <v>0</v>
      </c>
      <c r="K46" s="11">
        <v>0</v>
      </c>
      <c r="L46" s="11">
        <v>8430700</v>
      </c>
      <c r="M46" s="11">
        <v>8338500</v>
      </c>
      <c r="N46" s="11">
        <v>0</v>
      </c>
    </row>
    <row r="47" spans="1:14" x14ac:dyDescent="0.3">
      <c r="A47" s="10">
        <v>46027</v>
      </c>
      <c r="B47" t="s">
        <v>19</v>
      </c>
      <c r="C47" t="str">
        <f t="shared" si="0"/>
        <v>379851261347</v>
      </c>
      <c r="D47" t="str">
        <f t="shared" si="1"/>
        <v>Client47</v>
      </c>
      <c r="E47" t="str">
        <f t="shared" si="2"/>
        <v>BOB47</v>
      </c>
      <c r="F47" t="s">
        <v>25</v>
      </c>
      <c r="G47" s="11" t="s">
        <v>21</v>
      </c>
      <c r="H47" s="11">
        <v>0</v>
      </c>
      <c r="I47" s="11">
        <v>12418500</v>
      </c>
      <c r="J47" s="11">
        <v>0</v>
      </c>
      <c r="K47" s="11">
        <v>0</v>
      </c>
      <c r="L47" s="11">
        <v>6819700</v>
      </c>
      <c r="M47" s="11">
        <v>17265500</v>
      </c>
      <c r="N47" s="11">
        <v>0</v>
      </c>
    </row>
    <row r="48" spans="1:14" x14ac:dyDescent="0.3">
      <c r="A48" s="10">
        <v>46027</v>
      </c>
      <c r="B48" t="s">
        <v>19</v>
      </c>
      <c r="C48" t="str">
        <f t="shared" si="0"/>
        <v>379851261348</v>
      </c>
      <c r="D48" t="str">
        <f t="shared" si="1"/>
        <v>Client48</v>
      </c>
      <c r="E48" t="str">
        <f t="shared" si="2"/>
        <v>BOB48</v>
      </c>
      <c r="F48" t="s">
        <v>25</v>
      </c>
      <c r="G48" s="11" t="s">
        <v>21</v>
      </c>
      <c r="H48" s="11">
        <v>0</v>
      </c>
      <c r="I48" s="11">
        <v>0</v>
      </c>
      <c r="J48" s="11">
        <v>4173000</v>
      </c>
      <c r="K48" s="11">
        <v>12623600</v>
      </c>
      <c r="L48" s="11">
        <v>31195900</v>
      </c>
      <c r="M48" s="11">
        <v>32765600</v>
      </c>
      <c r="N48" s="11">
        <v>0</v>
      </c>
    </row>
    <row r="49" spans="1:14" x14ac:dyDescent="0.3">
      <c r="A49" s="10">
        <v>46027</v>
      </c>
      <c r="B49" t="s">
        <v>19</v>
      </c>
      <c r="C49" t="str">
        <f t="shared" si="0"/>
        <v>379851261349</v>
      </c>
      <c r="D49" t="str">
        <f t="shared" si="1"/>
        <v>Client49</v>
      </c>
      <c r="E49" t="str">
        <f t="shared" si="2"/>
        <v>BOB49</v>
      </c>
      <c r="F49" t="s">
        <v>51</v>
      </c>
      <c r="G49" s="11" t="s">
        <v>21</v>
      </c>
      <c r="H49" s="11">
        <v>0</v>
      </c>
      <c r="I49" s="11">
        <v>6423000</v>
      </c>
      <c r="J49" s="11">
        <v>0</v>
      </c>
      <c r="K49" s="11">
        <v>0</v>
      </c>
      <c r="L49" s="11">
        <v>163200</v>
      </c>
      <c r="M49" s="11">
        <v>0</v>
      </c>
      <c r="N49" s="11">
        <v>3305000</v>
      </c>
    </row>
    <row r="50" spans="1:14" x14ac:dyDescent="0.3">
      <c r="A50" s="10">
        <v>46027</v>
      </c>
      <c r="B50" t="s">
        <v>19</v>
      </c>
      <c r="C50" t="str">
        <f t="shared" si="0"/>
        <v>379851261350</v>
      </c>
      <c r="D50" t="str">
        <f t="shared" si="1"/>
        <v>Client50</v>
      </c>
      <c r="E50" t="str">
        <f t="shared" si="2"/>
        <v>BOB50</v>
      </c>
      <c r="F50" t="s">
        <v>25</v>
      </c>
      <c r="G50" s="11" t="s">
        <v>21</v>
      </c>
      <c r="H50" s="11">
        <v>0</v>
      </c>
      <c r="I50" s="11">
        <v>0</v>
      </c>
      <c r="J50" s="11">
        <v>0</v>
      </c>
      <c r="K50" s="11">
        <v>0</v>
      </c>
      <c r="L50" s="11">
        <v>1923800</v>
      </c>
      <c r="M50" s="11">
        <v>2073400</v>
      </c>
      <c r="N50" s="11">
        <v>0</v>
      </c>
    </row>
    <row r="51" spans="1:14" x14ac:dyDescent="0.3">
      <c r="A51" s="10">
        <v>46027</v>
      </c>
      <c r="B51" t="s">
        <v>19</v>
      </c>
      <c r="C51" t="str">
        <f t="shared" si="0"/>
        <v>379851261351</v>
      </c>
      <c r="D51" t="str">
        <f t="shared" si="1"/>
        <v>Client51</v>
      </c>
      <c r="E51" t="str">
        <f t="shared" si="2"/>
        <v>BOB51</v>
      </c>
      <c r="F51" t="s">
        <v>22</v>
      </c>
      <c r="G51" s="11" t="s">
        <v>23</v>
      </c>
      <c r="H51" s="11">
        <v>0</v>
      </c>
      <c r="I51" s="11">
        <v>0</v>
      </c>
      <c r="J51" s="11">
        <v>0</v>
      </c>
      <c r="K51" s="11">
        <v>5905900</v>
      </c>
      <c r="L51" s="11">
        <v>8613500</v>
      </c>
      <c r="M51" s="11">
        <v>12817000</v>
      </c>
      <c r="N51" s="11">
        <v>0</v>
      </c>
    </row>
    <row r="52" spans="1:14" x14ac:dyDescent="0.3">
      <c r="A52" s="10">
        <v>46027</v>
      </c>
      <c r="B52" t="s">
        <v>19</v>
      </c>
      <c r="C52" t="str">
        <f t="shared" si="0"/>
        <v>379851261352</v>
      </c>
      <c r="D52" t="str">
        <f t="shared" si="1"/>
        <v>Client52</v>
      </c>
      <c r="E52" t="str">
        <f t="shared" si="2"/>
        <v>BOB52</v>
      </c>
      <c r="F52" t="s">
        <v>20</v>
      </c>
      <c r="G52" s="11" t="s">
        <v>21</v>
      </c>
      <c r="H52" s="11">
        <v>0</v>
      </c>
      <c r="I52" s="11">
        <v>0</v>
      </c>
      <c r="J52" s="11">
        <v>0</v>
      </c>
      <c r="K52" s="11">
        <v>1200000</v>
      </c>
      <c r="L52" s="11">
        <v>30994300</v>
      </c>
      <c r="M52" s="11">
        <v>30331700</v>
      </c>
      <c r="N52" s="11">
        <v>0</v>
      </c>
    </row>
    <row r="53" spans="1:14" x14ac:dyDescent="0.3">
      <c r="A53" s="10">
        <v>46027</v>
      </c>
      <c r="B53" t="s">
        <v>19</v>
      </c>
      <c r="C53" t="str">
        <f t="shared" si="0"/>
        <v>379851261353</v>
      </c>
      <c r="D53" t="str">
        <f t="shared" si="1"/>
        <v>Client53</v>
      </c>
      <c r="E53" t="str">
        <f t="shared" si="2"/>
        <v>BOB53</v>
      </c>
      <c r="F53" t="s">
        <v>24</v>
      </c>
      <c r="G53" s="11" t="s">
        <v>21</v>
      </c>
      <c r="H53" s="11">
        <v>0</v>
      </c>
      <c r="I53" s="11">
        <v>0</v>
      </c>
      <c r="J53" s="11">
        <v>0</v>
      </c>
      <c r="K53" s="11">
        <v>0</v>
      </c>
      <c r="L53" s="11">
        <v>3643600</v>
      </c>
      <c r="M53" s="11">
        <v>3343500</v>
      </c>
      <c r="N53" s="11">
        <v>0</v>
      </c>
    </row>
    <row r="54" spans="1:14" x14ac:dyDescent="0.3">
      <c r="A54" s="10">
        <v>46027</v>
      </c>
      <c r="B54" t="s">
        <v>19</v>
      </c>
      <c r="C54" t="str">
        <f t="shared" si="0"/>
        <v>379851261354</v>
      </c>
      <c r="D54" t="str">
        <f t="shared" si="1"/>
        <v>Client54</v>
      </c>
      <c r="E54" t="str">
        <f t="shared" si="2"/>
        <v>BOB54</v>
      </c>
      <c r="F54" t="s">
        <v>48</v>
      </c>
      <c r="G54" s="11" t="s">
        <v>52</v>
      </c>
      <c r="H54" s="11">
        <v>0</v>
      </c>
      <c r="I54" s="11">
        <v>0</v>
      </c>
      <c r="J54" s="11">
        <v>0</v>
      </c>
      <c r="K54" s="11">
        <v>0</v>
      </c>
      <c r="L54" s="11">
        <v>42347900</v>
      </c>
      <c r="M54" s="11">
        <v>32370100</v>
      </c>
      <c r="N54" s="11">
        <v>0</v>
      </c>
    </row>
    <row r="55" spans="1:14" x14ac:dyDescent="0.3">
      <c r="A55" s="10">
        <v>46027</v>
      </c>
      <c r="B55" t="s">
        <v>19</v>
      </c>
      <c r="C55" t="str">
        <f t="shared" si="0"/>
        <v>379851261355</v>
      </c>
      <c r="D55" t="str">
        <f t="shared" si="1"/>
        <v>Client55</v>
      </c>
      <c r="E55" t="str">
        <f t="shared" si="2"/>
        <v>BOB55</v>
      </c>
      <c r="F55" t="s">
        <v>24</v>
      </c>
      <c r="G55" s="11" t="s">
        <v>21</v>
      </c>
      <c r="H55" s="11">
        <v>300000000</v>
      </c>
      <c r="I55" s="11">
        <v>0</v>
      </c>
      <c r="J55" s="11">
        <v>3450000</v>
      </c>
      <c r="K55" s="11">
        <v>0</v>
      </c>
      <c r="L55" s="11">
        <v>303666300</v>
      </c>
      <c r="M55" s="11">
        <v>0</v>
      </c>
      <c r="N55" s="11">
        <v>0</v>
      </c>
    </row>
    <row r="56" spans="1:14" x14ac:dyDescent="0.3">
      <c r="A56" s="10">
        <v>46027</v>
      </c>
      <c r="B56" t="s">
        <v>19</v>
      </c>
      <c r="C56" t="str">
        <f t="shared" si="0"/>
        <v>379851261356</v>
      </c>
      <c r="D56" t="str">
        <f t="shared" si="1"/>
        <v>Client56</v>
      </c>
      <c r="E56" t="str">
        <f t="shared" si="2"/>
        <v>BOB56</v>
      </c>
      <c r="F56" t="s">
        <v>24</v>
      </c>
      <c r="G56" s="11" t="s">
        <v>21</v>
      </c>
      <c r="H56" s="11">
        <v>0</v>
      </c>
      <c r="I56" s="11">
        <v>0</v>
      </c>
      <c r="J56" s="11">
        <v>0</v>
      </c>
      <c r="K56" s="11">
        <v>0</v>
      </c>
      <c r="L56" s="11">
        <v>1216800</v>
      </c>
      <c r="M56" s="11">
        <v>1761400</v>
      </c>
      <c r="N56" s="11">
        <v>0</v>
      </c>
    </row>
    <row r="57" spans="1:14" x14ac:dyDescent="0.3">
      <c r="A57" s="10">
        <v>46027</v>
      </c>
      <c r="B57" t="s">
        <v>19</v>
      </c>
      <c r="C57" t="str">
        <f t="shared" si="0"/>
        <v>379851261357</v>
      </c>
      <c r="D57" t="str">
        <f t="shared" si="1"/>
        <v>Client57</v>
      </c>
      <c r="E57" t="str">
        <f t="shared" si="2"/>
        <v>BOB57</v>
      </c>
      <c r="F57" t="s">
        <v>25</v>
      </c>
      <c r="G57" s="11" t="s">
        <v>21</v>
      </c>
      <c r="H57" s="11">
        <v>0</v>
      </c>
      <c r="I57" s="11">
        <v>0</v>
      </c>
      <c r="J57" s="11">
        <v>0</v>
      </c>
      <c r="K57" s="11">
        <v>0</v>
      </c>
      <c r="L57" s="11">
        <v>24033400</v>
      </c>
      <c r="M57" s="11">
        <v>25223000</v>
      </c>
      <c r="N57" s="11">
        <v>0</v>
      </c>
    </row>
    <row r="58" spans="1:14" x14ac:dyDescent="0.3">
      <c r="A58" s="10">
        <v>46027</v>
      </c>
      <c r="B58" t="s">
        <v>19</v>
      </c>
      <c r="C58" t="str">
        <f t="shared" si="0"/>
        <v>379851261358</v>
      </c>
      <c r="D58" t="str">
        <f t="shared" si="1"/>
        <v>Client58</v>
      </c>
      <c r="E58" t="str">
        <f t="shared" si="2"/>
        <v>BOB58</v>
      </c>
      <c r="F58" t="s">
        <v>22</v>
      </c>
      <c r="G58" s="11" t="s">
        <v>23</v>
      </c>
      <c r="H58" s="11">
        <v>0</v>
      </c>
      <c r="I58" s="11">
        <v>0</v>
      </c>
      <c r="J58" s="11">
        <v>0</v>
      </c>
      <c r="K58" s="11">
        <v>0</v>
      </c>
      <c r="L58" s="11">
        <v>1280800</v>
      </c>
      <c r="M58" s="11">
        <v>1226300</v>
      </c>
      <c r="N58" s="11">
        <v>300000</v>
      </c>
    </row>
    <row r="59" spans="1:14" x14ac:dyDescent="0.3">
      <c r="A59" s="10">
        <v>46027</v>
      </c>
      <c r="B59" t="s">
        <v>19</v>
      </c>
      <c r="C59" t="str">
        <f t="shared" si="0"/>
        <v>379851261359</v>
      </c>
      <c r="D59" t="str">
        <f t="shared" si="1"/>
        <v>Client59</v>
      </c>
      <c r="E59" t="str">
        <f t="shared" si="2"/>
        <v>BOB59</v>
      </c>
      <c r="F59" t="s">
        <v>25</v>
      </c>
      <c r="G59" s="11" t="s">
        <v>21</v>
      </c>
      <c r="H59" s="11">
        <v>0</v>
      </c>
      <c r="I59" s="11">
        <v>0</v>
      </c>
      <c r="J59" s="11">
        <v>0</v>
      </c>
      <c r="K59" s="11">
        <v>1000000</v>
      </c>
      <c r="L59" s="11">
        <v>8924900</v>
      </c>
      <c r="M59" s="11">
        <v>11699600</v>
      </c>
      <c r="N59" s="11">
        <v>0</v>
      </c>
    </row>
    <row r="60" spans="1:14" x14ac:dyDescent="0.3">
      <c r="A60" s="10">
        <v>46027</v>
      </c>
      <c r="B60" t="s">
        <v>19</v>
      </c>
      <c r="C60" t="str">
        <f t="shared" si="0"/>
        <v>379851261360</v>
      </c>
      <c r="D60" t="str">
        <f t="shared" si="1"/>
        <v>Client60</v>
      </c>
      <c r="E60" t="str">
        <f t="shared" si="2"/>
        <v>BOB60</v>
      </c>
      <c r="F60" t="s">
        <v>24</v>
      </c>
      <c r="G60" s="11" t="s">
        <v>21</v>
      </c>
      <c r="H60" s="11">
        <v>0</v>
      </c>
      <c r="I60" s="11">
        <v>0</v>
      </c>
      <c r="J60" s="11">
        <v>0</v>
      </c>
      <c r="K60" s="11">
        <v>0</v>
      </c>
      <c r="L60" s="11">
        <v>4141400</v>
      </c>
      <c r="M60" s="11">
        <v>3207300</v>
      </c>
      <c r="N60" s="11">
        <v>0</v>
      </c>
    </row>
    <row r="61" spans="1:14" x14ac:dyDescent="0.3">
      <c r="A61" s="10">
        <v>46027</v>
      </c>
      <c r="B61" t="s">
        <v>19</v>
      </c>
      <c r="C61" t="str">
        <f t="shared" si="0"/>
        <v>379851261361</v>
      </c>
      <c r="D61" t="str">
        <f t="shared" si="1"/>
        <v>Client61</v>
      </c>
      <c r="E61" t="str">
        <f t="shared" si="2"/>
        <v>BOB61</v>
      </c>
      <c r="F61" t="s">
        <v>20</v>
      </c>
      <c r="G61" s="11" t="s">
        <v>21</v>
      </c>
      <c r="H61" s="11">
        <v>0</v>
      </c>
      <c r="I61" s="11">
        <v>0</v>
      </c>
      <c r="J61" s="11">
        <v>3000000</v>
      </c>
      <c r="K61" s="11">
        <v>0</v>
      </c>
      <c r="L61" s="11">
        <v>41306500</v>
      </c>
      <c r="M61" s="11">
        <v>44602500</v>
      </c>
      <c r="N61" s="11">
        <v>0</v>
      </c>
    </row>
    <row r="62" spans="1:14" x14ac:dyDescent="0.3">
      <c r="A62" s="10">
        <v>46027</v>
      </c>
      <c r="B62" t="s">
        <v>19</v>
      </c>
      <c r="C62" t="str">
        <f t="shared" si="0"/>
        <v>379851261362</v>
      </c>
      <c r="D62" t="str">
        <f t="shared" si="1"/>
        <v>Client62</v>
      </c>
      <c r="E62" t="str">
        <f t="shared" si="2"/>
        <v>BOB62</v>
      </c>
      <c r="F62" t="s">
        <v>25</v>
      </c>
      <c r="G62" s="11" t="s">
        <v>21</v>
      </c>
      <c r="H62" s="11">
        <v>0</v>
      </c>
      <c r="I62" s="11">
        <v>0</v>
      </c>
      <c r="J62" s="11">
        <v>0</v>
      </c>
      <c r="K62" s="11">
        <v>0</v>
      </c>
      <c r="L62" s="11">
        <v>7327000</v>
      </c>
      <c r="M62" s="11">
        <v>9457700</v>
      </c>
      <c r="N62" s="11">
        <v>0</v>
      </c>
    </row>
    <row r="63" spans="1:14" x14ac:dyDescent="0.3">
      <c r="A63" s="10">
        <v>46027</v>
      </c>
      <c r="B63" t="s">
        <v>19</v>
      </c>
      <c r="C63" t="str">
        <f t="shared" si="0"/>
        <v>379851261363</v>
      </c>
      <c r="D63" t="str">
        <f t="shared" si="1"/>
        <v>Client63</v>
      </c>
      <c r="E63" t="str">
        <f t="shared" si="2"/>
        <v>BOB63</v>
      </c>
      <c r="F63" t="s">
        <v>20</v>
      </c>
      <c r="G63" s="11" t="s">
        <v>21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</row>
    <row r="64" spans="1:14" x14ac:dyDescent="0.3">
      <c r="A64" s="10">
        <v>46027</v>
      </c>
      <c r="B64" t="s">
        <v>19</v>
      </c>
      <c r="C64" t="str">
        <f t="shared" si="0"/>
        <v>379851261364</v>
      </c>
      <c r="D64" t="str">
        <f t="shared" si="1"/>
        <v>Client64</v>
      </c>
      <c r="E64" t="str">
        <f t="shared" si="2"/>
        <v>BOB64</v>
      </c>
      <c r="F64" t="s">
        <v>22</v>
      </c>
      <c r="G64" s="11" t="s">
        <v>23</v>
      </c>
      <c r="H64" s="11">
        <v>0</v>
      </c>
      <c r="I64" s="11">
        <v>0</v>
      </c>
      <c r="J64" s="11">
        <v>0</v>
      </c>
      <c r="K64" s="11">
        <v>0</v>
      </c>
      <c r="L64" s="11">
        <v>7287100</v>
      </c>
      <c r="M64" s="11">
        <v>7026800</v>
      </c>
      <c r="N64" s="11">
        <v>0</v>
      </c>
    </row>
    <row r="65" spans="1:14" x14ac:dyDescent="0.3">
      <c r="A65" s="10">
        <v>46027</v>
      </c>
      <c r="B65" t="s">
        <v>19</v>
      </c>
      <c r="C65" t="str">
        <f t="shared" si="0"/>
        <v>379851261365</v>
      </c>
      <c r="D65" t="str">
        <f t="shared" si="1"/>
        <v>Client65</v>
      </c>
      <c r="E65" t="str">
        <f t="shared" si="2"/>
        <v>BOB65</v>
      </c>
      <c r="F65" t="s">
        <v>20</v>
      </c>
      <c r="G65" s="11" t="s">
        <v>21</v>
      </c>
      <c r="H65" s="11">
        <v>0</v>
      </c>
      <c r="I65" s="11">
        <v>0</v>
      </c>
      <c r="J65" s="11">
        <v>0</v>
      </c>
      <c r="K65" s="11">
        <v>0</v>
      </c>
      <c r="L65" s="11">
        <v>16658100</v>
      </c>
      <c r="M65" s="11">
        <v>16907500</v>
      </c>
      <c r="N65" s="11">
        <v>0</v>
      </c>
    </row>
    <row r="66" spans="1:14" x14ac:dyDescent="0.3">
      <c r="A66" s="10">
        <v>46027</v>
      </c>
      <c r="B66" t="s">
        <v>19</v>
      </c>
      <c r="C66" t="str">
        <f t="shared" si="0"/>
        <v>379851261366</v>
      </c>
      <c r="D66" t="str">
        <f t="shared" si="1"/>
        <v>Client66</v>
      </c>
      <c r="E66" t="str">
        <f t="shared" si="2"/>
        <v>BOB66</v>
      </c>
      <c r="F66" t="s">
        <v>20</v>
      </c>
      <c r="G66" s="11" t="s">
        <v>21</v>
      </c>
      <c r="H66" s="11">
        <v>0</v>
      </c>
      <c r="I66" s="11">
        <v>0</v>
      </c>
      <c r="J66" s="11">
        <v>3002000</v>
      </c>
      <c r="K66" s="11">
        <v>4514800</v>
      </c>
      <c r="L66" s="11">
        <v>6231300</v>
      </c>
      <c r="M66" s="11">
        <v>7876400</v>
      </c>
      <c r="N66" s="11">
        <v>0</v>
      </c>
    </row>
    <row r="67" spans="1:14" x14ac:dyDescent="0.3">
      <c r="A67" s="10">
        <v>46027</v>
      </c>
      <c r="B67" t="s">
        <v>19</v>
      </c>
      <c r="C67" t="str">
        <f t="shared" ref="C67:C130" si="3" xml:space="preserve"> "3798512613" &amp; ROW()</f>
        <v>379851261367</v>
      </c>
      <c r="D67" t="str">
        <f t="shared" ref="D67:D130" si="4">"Client"&amp;ROW()</f>
        <v>Client67</v>
      </c>
      <c r="E67" t="str">
        <f t="shared" ref="E67:E130" si="5">"BOB"&amp;ROW()</f>
        <v>BOB67</v>
      </c>
      <c r="F67" t="s">
        <v>24</v>
      </c>
      <c r="G67" s="11" t="s">
        <v>21</v>
      </c>
      <c r="H67" s="11">
        <v>0</v>
      </c>
      <c r="I67" s="11">
        <v>0</v>
      </c>
      <c r="J67" s="11">
        <v>0</v>
      </c>
      <c r="K67" s="11">
        <v>1000000</v>
      </c>
      <c r="L67" s="11">
        <v>8177000</v>
      </c>
      <c r="M67" s="11">
        <v>13750200</v>
      </c>
      <c r="N67" s="11">
        <v>0</v>
      </c>
    </row>
    <row r="68" spans="1:14" x14ac:dyDescent="0.3">
      <c r="A68" s="10">
        <v>46027</v>
      </c>
      <c r="B68" t="s">
        <v>19</v>
      </c>
      <c r="C68" t="str">
        <f t="shared" si="3"/>
        <v>379851261368</v>
      </c>
      <c r="D68" t="str">
        <f t="shared" si="4"/>
        <v>Client68</v>
      </c>
      <c r="E68" t="str">
        <f t="shared" si="5"/>
        <v>BOB68</v>
      </c>
      <c r="F68" t="s">
        <v>22</v>
      </c>
      <c r="G68" s="11" t="s">
        <v>23</v>
      </c>
      <c r="H68" s="11">
        <v>0</v>
      </c>
      <c r="I68" s="11">
        <v>0</v>
      </c>
      <c r="J68" s="11">
        <v>200000</v>
      </c>
      <c r="K68" s="11">
        <v>1001000</v>
      </c>
      <c r="L68" s="11">
        <v>10397100</v>
      </c>
      <c r="M68" s="11">
        <v>12519200</v>
      </c>
      <c r="N68" s="11">
        <v>0</v>
      </c>
    </row>
    <row r="69" spans="1:14" x14ac:dyDescent="0.3">
      <c r="A69" s="10">
        <v>46027</v>
      </c>
      <c r="B69" t="s">
        <v>19</v>
      </c>
      <c r="C69" t="str">
        <f t="shared" si="3"/>
        <v>379851261369</v>
      </c>
      <c r="D69" t="str">
        <f t="shared" si="4"/>
        <v>Client69</v>
      </c>
      <c r="E69" t="str">
        <f t="shared" si="5"/>
        <v>BOB69</v>
      </c>
      <c r="F69" t="s">
        <v>20</v>
      </c>
      <c r="G69" s="11" t="s">
        <v>21</v>
      </c>
      <c r="H69" s="11">
        <v>0</v>
      </c>
      <c r="I69" s="11">
        <v>3000000</v>
      </c>
      <c r="J69" s="11">
        <v>0</v>
      </c>
      <c r="K69" s="11">
        <v>3500000</v>
      </c>
      <c r="L69" s="11">
        <v>7986800</v>
      </c>
      <c r="M69" s="11">
        <v>14470200</v>
      </c>
      <c r="N69" s="11">
        <v>0</v>
      </c>
    </row>
    <row r="70" spans="1:14" x14ac:dyDescent="0.3">
      <c r="A70" s="10">
        <v>46027</v>
      </c>
      <c r="B70" t="s">
        <v>19</v>
      </c>
      <c r="C70" t="str">
        <f t="shared" si="3"/>
        <v>379851261370</v>
      </c>
      <c r="D70" t="str">
        <f t="shared" si="4"/>
        <v>Client70</v>
      </c>
      <c r="E70" t="str">
        <f t="shared" si="5"/>
        <v>BOB70</v>
      </c>
      <c r="F70" t="s">
        <v>20</v>
      </c>
      <c r="G70" s="11" t="s">
        <v>21</v>
      </c>
      <c r="H70" s="11">
        <v>0</v>
      </c>
      <c r="I70" s="11">
        <v>0</v>
      </c>
      <c r="J70" s="11">
        <v>0</v>
      </c>
      <c r="K70" s="11">
        <v>0</v>
      </c>
      <c r="L70" s="11">
        <v>36964700</v>
      </c>
      <c r="M70" s="11">
        <v>32328900</v>
      </c>
      <c r="N70" s="11">
        <v>0</v>
      </c>
    </row>
    <row r="71" spans="1:14" x14ac:dyDescent="0.3">
      <c r="A71" s="10">
        <v>46027</v>
      </c>
      <c r="B71" t="s">
        <v>19</v>
      </c>
      <c r="C71" t="str">
        <f t="shared" si="3"/>
        <v>379851261371</v>
      </c>
      <c r="D71" t="str">
        <f t="shared" si="4"/>
        <v>Client71</v>
      </c>
      <c r="E71" t="str">
        <f t="shared" si="5"/>
        <v>BOB71</v>
      </c>
      <c r="F71" t="s">
        <v>25</v>
      </c>
      <c r="G71" s="11" t="s">
        <v>21</v>
      </c>
      <c r="H71" s="11">
        <v>0</v>
      </c>
      <c r="I71" s="11">
        <v>0</v>
      </c>
      <c r="J71" s="11">
        <v>0</v>
      </c>
      <c r="K71" s="11">
        <v>0</v>
      </c>
      <c r="L71" s="11">
        <v>1460800</v>
      </c>
      <c r="M71" s="11">
        <v>1449000</v>
      </c>
      <c r="N71" s="11">
        <v>0</v>
      </c>
    </row>
    <row r="72" spans="1:14" x14ac:dyDescent="0.3">
      <c r="A72" s="10">
        <v>46027</v>
      </c>
      <c r="B72" t="s">
        <v>19</v>
      </c>
      <c r="C72" t="str">
        <f t="shared" si="3"/>
        <v>379851261372</v>
      </c>
      <c r="D72" t="str">
        <f t="shared" si="4"/>
        <v>Client72</v>
      </c>
      <c r="E72" t="str">
        <f t="shared" si="5"/>
        <v>BOB72</v>
      </c>
      <c r="F72" t="s">
        <v>24</v>
      </c>
      <c r="G72" s="11" t="s">
        <v>21</v>
      </c>
      <c r="H72" s="11">
        <v>0</v>
      </c>
      <c r="I72" s="11">
        <v>0</v>
      </c>
      <c r="J72" s="11">
        <v>0</v>
      </c>
      <c r="K72" s="11">
        <v>5509000</v>
      </c>
      <c r="L72" s="11">
        <v>11763300</v>
      </c>
      <c r="M72" s="11">
        <v>16659000</v>
      </c>
      <c r="N72" s="11">
        <v>0</v>
      </c>
    </row>
    <row r="73" spans="1:14" x14ac:dyDescent="0.3">
      <c r="A73" s="10">
        <v>46027</v>
      </c>
      <c r="B73" t="s">
        <v>19</v>
      </c>
      <c r="C73" t="str">
        <f t="shared" si="3"/>
        <v>379851261373</v>
      </c>
      <c r="D73" t="str">
        <f t="shared" si="4"/>
        <v>Client73</v>
      </c>
      <c r="E73" t="str">
        <f t="shared" si="5"/>
        <v>BOB73</v>
      </c>
      <c r="F73" t="s">
        <v>24</v>
      </c>
      <c r="G73" s="11" t="s">
        <v>21</v>
      </c>
      <c r="H73" s="11">
        <v>0</v>
      </c>
      <c r="I73" s="11">
        <v>0</v>
      </c>
      <c r="J73" s="11">
        <v>0</v>
      </c>
      <c r="K73" s="11">
        <v>15000000</v>
      </c>
      <c r="L73" s="11">
        <v>17075000</v>
      </c>
      <c r="M73" s="11">
        <v>35440000</v>
      </c>
      <c r="N73" s="11">
        <v>0</v>
      </c>
    </row>
    <row r="74" spans="1:14" x14ac:dyDescent="0.3">
      <c r="A74" s="10">
        <v>46027</v>
      </c>
      <c r="B74" t="s">
        <v>19</v>
      </c>
      <c r="C74" t="str">
        <f t="shared" si="3"/>
        <v>379851261374</v>
      </c>
      <c r="D74" t="str">
        <f t="shared" si="4"/>
        <v>Client74</v>
      </c>
      <c r="E74" t="str">
        <f t="shared" si="5"/>
        <v>BOB74</v>
      </c>
      <c r="F74" t="s">
        <v>25</v>
      </c>
      <c r="G74" s="11" t="s">
        <v>21</v>
      </c>
      <c r="H74" s="11">
        <v>0</v>
      </c>
      <c r="I74" s="11">
        <v>34050000</v>
      </c>
      <c r="J74" s="11">
        <v>0</v>
      </c>
      <c r="K74" s="11">
        <v>0</v>
      </c>
      <c r="L74" s="11">
        <v>32604700</v>
      </c>
      <c r="M74" s="11">
        <v>64339100</v>
      </c>
      <c r="N74" s="11">
        <v>0</v>
      </c>
    </row>
    <row r="75" spans="1:14" x14ac:dyDescent="0.3">
      <c r="A75" s="10">
        <v>46027</v>
      </c>
      <c r="B75" t="s">
        <v>19</v>
      </c>
      <c r="C75" t="str">
        <f t="shared" si="3"/>
        <v>379851261375</v>
      </c>
      <c r="D75" t="str">
        <f t="shared" si="4"/>
        <v>Client75</v>
      </c>
      <c r="E75" t="str">
        <f t="shared" si="5"/>
        <v>BOB75</v>
      </c>
      <c r="F75" t="s">
        <v>25</v>
      </c>
      <c r="G75" s="11" t="s">
        <v>21</v>
      </c>
      <c r="H75" s="11">
        <v>0</v>
      </c>
      <c r="I75" s="11">
        <v>0</v>
      </c>
      <c r="J75" s="11">
        <v>0</v>
      </c>
      <c r="K75" s="11">
        <v>0</v>
      </c>
      <c r="L75" s="11">
        <v>21222000</v>
      </c>
      <c r="M75" s="11">
        <v>9259000</v>
      </c>
      <c r="N75" s="11">
        <v>0</v>
      </c>
    </row>
    <row r="76" spans="1:14" x14ac:dyDescent="0.3">
      <c r="A76" s="10">
        <v>46027</v>
      </c>
      <c r="B76" t="s">
        <v>19</v>
      </c>
      <c r="C76" t="str">
        <f t="shared" si="3"/>
        <v>379851261376</v>
      </c>
      <c r="D76" t="str">
        <f t="shared" si="4"/>
        <v>Client76</v>
      </c>
      <c r="E76" t="str">
        <f t="shared" si="5"/>
        <v>BOB76</v>
      </c>
      <c r="F76" t="s">
        <v>25</v>
      </c>
      <c r="G76" s="11" t="s">
        <v>21</v>
      </c>
      <c r="H76" s="11">
        <v>0</v>
      </c>
      <c r="I76" s="11">
        <v>0</v>
      </c>
      <c r="J76" s="11">
        <v>0</v>
      </c>
      <c r="K76" s="11">
        <v>2357000</v>
      </c>
      <c r="L76" s="11">
        <v>1641600</v>
      </c>
      <c r="M76" s="11">
        <v>882100</v>
      </c>
      <c r="N76" s="11">
        <v>0</v>
      </c>
    </row>
    <row r="77" spans="1:14" x14ac:dyDescent="0.3">
      <c r="A77" s="10">
        <v>46027</v>
      </c>
      <c r="B77" t="s">
        <v>19</v>
      </c>
      <c r="C77" t="str">
        <f t="shared" si="3"/>
        <v>379851261377</v>
      </c>
      <c r="D77" t="str">
        <f t="shared" si="4"/>
        <v>Client77</v>
      </c>
      <c r="E77" t="str">
        <f t="shared" si="5"/>
        <v>BOB77</v>
      </c>
      <c r="F77" t="s">
        <v>25</v>
      </c>
      <c r="G77" s="11" t="s">
        <v>21</v>
      </c>
      <c r="H77" s="11">
        <v>0</v>
      </c>
      <c r="I77" s="11">
        <v>0</v>
      </c>
      <c r="J77" s="11">
        <v>3601000</v>
      </c>
      <c r="K77" s="11">
        <v>1101000</v>
      </c>
      <c r="L77" s="11">
        <v>9566600</v>
      </c>
      <c r="M77" s="11">
        <v>7262400</v>
      </c>
      <c r="N77" s="11">
        <v>0</v>
      </c>
    </row>
    <row r="78" spans="1:14" x14ac:dyDescent="0.3">
      <c r="A78" s="10">
        <v>46027</v>
      </c>
      <c r="B78" t="s">
        <v>19</v>
      </c>
      <c r="C78" t="str">
        <f t="shared" si="3"/>
        <v>379851261378</v>
      </c>
      <c r="D78" t="str">
        <f t="shared" si="4"/>
        <v>Client78</v>
      </c>
      <c r="E78" t="str">
        <f t="shared" si="5"/>
        <v>BOB78</v>
      </c>
      <c r="F78" t="s">
        <v>20</v>
      </c>
      <c r="G78" s="11" t="s">
        <v>21</v>
      </c>
      <c r="H78" s="11">
        <v>0</v>
      </c>
      <c r="I78" s="11">
        <v>0</v>
      </c>
      <c r="J78" s="11">
        <v>0</v>
      </c>
      <c r="K78" s="11">
        <v>0</v>
      </c>
      <c r="L78" s="11">
        <v>28251700</v>
      </c>
      <c r="M78" s="11">
        <v>28715900</v>
      </c>
      <c r="N78" s="11">
        <v>0</v>
      </c>
    </row>
    <row r="79" spans="1:14" x14ac:dyDescent="0.3">
      <c r="A79" s="10">
        <v>46027</v>
      </c>
      <c r="B79" t="s">
        <v>19</v>
      </c>
      <c r="C79" t="str">
        <f t="shared" si="3"/>
        <v>379851261379</v>
      </c>
      <c r="D79" t="str">
        <f t="shared" si="4"/>
        <v>Client79</v>
      </c>
      <c r="E79" t="str">
        <f t="shared" si="5"/>
        <v>BOB79</v>
      </c>
      <c r="F79" t="s">
        <v>25</v>
      </c>
      <c r="G79" s="11" t="s">
        <v>21</v>
      </c>
      <c r="H79" s="11">
        <v>0</v>
      </c>
      <c r="I79" s="11">
        <v>0</v>
      </c>
      <c r="J79" s="11">
        <v>15640000</v>
      </c>
      <c r="K79" s="11">
        <v>2881000</v>
      </c>
      <c r="L79" s="11">
        <v>26474100</v>
      </c>
      <c r="M79" s="11">
        <v>12977400</v>
      </c>
      <c r="N79" s="11">
        <v>0</v>
      </c>
    </row>
    <row r="80" spans="1:14" x14ac:dyDescent="0.3">
      <c r="A80" s="10">
        <v>46027</v>
      </c>
      <c r="B80" t="s">
        <v>19</v>
      </c>
      <c r="C80" t="str">
        <f t="shared" si="3"/>
        <v>379851261380</v>
      </c>
      <c r="D80" t="str">
        <f t="shared" si="4"/>
        <v>Client80</v>
      </c>
      <c r="E80" t="str">
        <f t="shared" si="5"/>
        <v>BOB80</v>
      </c>
      <c r="F80" t="s">
        <v>22</v>
      </c>
      <c r="G80" s="11" t="s">
        <v>23</v>
      </c>
      <c r="H80" s="11">
        <v>0</v>
      </c>
      <c r="I80" s="11">
        <v>0</v>
      </c>
      <c r="J80" s="11">
        <v>0</v>
      </c>
      <c r="K80" s="11">
        <v>8008000</v>
      </c>
      <c r="L80" s="11">
        <v>16026200</v>
      </c>
      <c r="M80" s="11">
        <v>23713500</v>
      </c>
      <c r="N80" s="11">
        <v>0</v>
      </c>
    </row>
    <row r="81" spans="1:14" x14ac:dyDescent="0.3">
      <c r="A81" s="10">
        <v>46027</v>
      </c>
      <c r="B81" t="s">
        <v>19</v>
      </c>
      <c r="C81" t="str">
        <f t="shared" si="3"/>
        <v>379851261381</v>
      </c>
      <c r="D81" t="str">
        <f t="shared" si="4"/>
        <v>Client81</v>
      </c>
      <c r="E81" t="str">
        <f t="shared" si="5"/>
        <v>BOB81</v>
      </c>
      <c r="F81" t="s">
        <v>25</v>
      </c>
      <c r="G81" s="11" t="s">
        <v>21</v>
      </c>
      <c r="H81" s="11">
        <v>0</v>
      </c>
      <c r="I81" s="11">
        <v>0</v>
      </c>
      <c r="J81" s="11">
        <v>0</v>
      </c>
      <c r="K81" s="11">
        <v>0</v>
      </c>
      <c r="L81" s="11">
        <v>7835200</v>
      </c>
      <c r="M81" s="11">
        <v>8001700</v>
      </c>
      <c r="N81" s="11">
        <v>0</v>
      </c>
    </row>
    <row r="82" spans="1:14" x14ac:dyDescent="0.3">
      <c r="A82" s="10">
        <v>46027</v>
      </c>
      <c r="B82" t="s">
        <v>19</v>
      </c>
      <c r="C82" t="str">
        <f t="shared" si="3"/>
        <v>379851261382</v>
      </c>
      <c r="D82" t="str">
        <f t="shared" si="4"/>
        <v>Client82</v>
      </c>
      <c r="E82" t="str">
        <f t="shared" si="5"/>
        <v>BOB82</v>
      </c>
      <c r="F82" t="s">
        <v>26</v>
      </c>
      <c r="G82" s="11" t="s">
        <v>53</v>
      </c>
      <c r="H82" s="11">
        <v>0</v>
      </c>
      <c r="I82" s="11">
        <v>0</v>
      </c>
      <c r="J82" s="11">
        <v>0</v>
      </c>
      <c r="K82" s="11">
        <v>2508500</v>
      </c>
      <c r="L82" s="11">
        <v>4457000</v>
      </c>
      <c r="M82" s="11">
        <v>5447900</v>
      </c>
      <c r="N82" s="11">
        <v>0</v>
      </c>
    </row>
    <row r="83" spans="1:14" x14ac:dyDescent="0.3">
      <c r="A83" s="10">
        <v>46027</v>
      </c>
      <c r="B83" t="s">
        <v>19</v>
      </c>
      <c r="C83" t="str">
        <f t="shared" si="3"/>
        <v>379851261383</v>
      </c>
      <c r="D83" t="str">
        <f t="shared" si="4"/>
        <v>Client83</v>
      </c>
      <c r="E83" t="str">
        <f t="shared" si="5"/>
        <v>BOB83</v>
      </c>
      <c r="F83" t="s">
        <v>25</v>
      </c>
      <c r="G83" s="11" t="s">
        <v>21</v>
      </c>
      <c r="H83" s="11">
        <v>0</v>
      </c>
      <c r="I83" s="11">
        <v>0</v>
      </c>
      <c r="J83" s="11">
        <v>0</v>
      </c>
      <c r="K83" s="11">
        <v>0</v>
      </c>
      <c r="L83" s="11">
        <v>4642000</v>
      </c>
      <c r="M83" s="11">
        <v>5887800</v>
      </c>
      <c r="N83" s="11">
        <v>0</v>
      </c>
    </row>
    <row r="84" spans="1:14" x14ac:dyDescent="0.3">
      <c r="A84" s="10">
        <v>46027</v>
      </c>
      <c r="B84" t="s">
        <v>19</v>
      </c>
      <c r="C84" t="str">
        <f t="shared" si="3"/>
        <v>379851261384</v>
      </c>
      <c r="D84" t="str">
        <f t="shared" si="4"/>
        <v>Client84</v>
      </c>
      <c r="E84" t="str">
        <f t="shared" si="5"/>
        <v>BOB84</v>
      </c>
      <c r="F84" t="s">
        <v>20</v>
      </c>
      <c r="G84" s="11" t="s">
        <v>21</v>
      </c>
      <c r="H84" s="11">
        <v>0</v>
      </c>
      <c r="I84" s="11">
        <v>0</v>
      </c>
      <c r="J84" s="11">
        <v>0</v>
      </c>
      <c r="K84" s="11">
        <v>3703500</v>
      </c>
      <c r="L84" s="11">
        <v>7467600</v>
      </c>
      <c r="M84" s="11">
        <v>10642500</v>
      </c>
      <c r="N84" s="11">
        <v>0</v>
      </c>
    </row>
    <row r="85" spans="1:14" x14ac:dyDescent="0.3">
      <c r="A85" s="10">
        <v>46027</v>
      </c>
      <c r="B85" t="s">
        <v>19</v>
      </c>
      <c r="C85" t="str">
        <f t="shared" si="3"/>
        <v>379851261385</v>
      </c>
      <c r="D85" t="str">
        <f t="shared" si="4"/>
        <v>Client85</v>
      </c>
      <c r="E85" t="str">
        <f t="shared" si="5"/>
        <v>BOB85</v>
      </c>
      <c r="F85" t="s">
        <v>25</v>
      </c>
      <c r="G85" s="11" t="s">
        <v>21</v>
      </c>
      <c r="H85" s="11">
        <v>0</v>
      </c>
      <c r="I85" s="11">
        <v>0</v>
      </c>
      <c r="J85" s="11">
        <v>300000</v>
      </c>
      <c r="K85" s="11">
        <v>256800</v>
      </c>
      <c r="L85" s="11">
        <v>6985400</v>
      </c>
      <c r="M85" s="11">
        <v>6831400</v>
      </c>
      <c r="N85" s="11">
        <v>0</v>
      </c>
    </row>
    <row r="86" spans="1:14" x14ac:dyDescent="0.3">
      <c r="A86" s="10">
        <v>46027</v>
      </c>
      <c r="B86" t="s">
        <v>19</v>
      </c>
      <c r="C86" t="str">
        <f t="shared" si="3"/>
        <v>379851261386</v>
      </c>
      <c r="D86" t="str">
        <f t="shared" si="4"/>
        <v>Client86</v>
      </c>
      <c r="E86" t="str">
        <f t="shared" si="5"/>
        <v>BOB86</v>
      </c>
      <c r="F86" t="s">
        <v>25</v>
      </c>
      <c r="G86" s="11" t="s">
        <v>21</v>
      </c>
      <c r="H86" s="11">
        <v>0</v>
      </c>
      <c r="I86" s="11">
        <v>0</v>
      </c>
      <c r="J86" s="11">
        <v>0</v>
      </c>
      <c r="K86" s="11">
        <v>0</v>
      </c>
      <c r="L86" s="11">
        <v>45065700</v>
      </c>
      <c r="M86" s="11">
        <v>48945600</v>
      </c>
      <c r="N86" s="11">
        <v>0</v>
      </c>
    </row>
    <row r="87" spans="1:14" x14ac:dyDescent="0.3">
      <c r="A87" s="10">
        <v>46027</v>
      </c>
      <c r="B87" t="s">
        <v>19</v>
      </c>
      <c r="C87" t="str">
        <f t="shared" si="3"/>
        <v>379851261387</v>
      </c>
      <c r="D87" t="str">
        <f t="shared" si="4"/>
        <v>Client87</v>
      </c>
      <c r="E87" t="str">
        <f t="shared" si="5"/>
        <v>BOB87</v>
      </c>
      <c r="F87" t="s">
        <v>25</v>
      </c>
      <c r="G87" s="11" t="s">
        <v>21</v>
      </c>
      <c r="H87" s="11">
        <v>0</v>
      </c>
      <c r="I87" s="11">
        <v>0</v>
      </c>
      <c r="J87" s="11">
        <v>0</v>
      </c>
      <c r="K87" s="11">
        <v>1000000</v>
      </c>
      <c r="L87" s="11">
        <v>11772400</v>
      </c>
      <c r="M87" s="11">
        <v>10987400</v>
      </c>
      <c r="N87" s="11">
        <v>0</v>
      </c>
    </row>
    <row r="88" spans="1:14" x14ac:dyDescent="0.3">
      <c r="A88" s="10">
        <v>46027</v>
      </c>
      <c r="B88" t="s">
        <v>19</v>
      </c>
      <c r="C88" t="str">
        <f t="shared" si="3"/>
        <v>379851261388</v>
      </c>
      <c r="D88" t="str">
        <f t="shared" si="4"/>
        <v>Client88</v>
      </c>
      <c r="E88" t="str">
        <f t="shared" si="5"/>
        <v>BOB88</v>
      </c>
      <c r="F88" t="s">
        <v>25</v>
      </c>
      <c r="G88" s="11" t="s">
        <v>21</v>
      </c>
      <c r="H88" s="11">
        <v>0</v>
      </c>
      <c r="I88" s="11">
        <v>0</v>
      </c>
      <c r="J88" s="11">
        <v>1000000</v>
      </c>
      <c r="K88" s="11">
        <v>4900000</v>
      </c>
      <c r="L88" s="11">
        <v>4672200</v>
      </c>
      <c r="M88" s="11">
        <v>8484700</v>
      </c>
      <c r="N88" s="11">
        <v>0</v>
      </c>
    </row>
    <row r="89" spans="1:14" x14ac:dyDescent="0.3">
      <c r="A89" s="10">
        <v>46027</v>
      </c>
      <c r="B89" t="s">
        <v>19</v>
      </c>
      <c r="C89" t="str">
        <f t="shared" si="3"/>
        <v>379851261389</v>
      </c>
      <c r="D89" t="str">
        <f t="shared" si="4"/>
        <v>Client89</v>
      </c>
      <c r="E89" t="str">
        <f t="shared" si="5"/>
        <v>BOB89</v>
      </c>
      <c r="F89" t="s">
        <v>20</v>
      </c>
      <c r="G89" s="11" t="s">
        <v>21</v>
      </c>
      <c r="H89" s="11">
        <v>0</v>
      </c>
      <c r="I89" s="11">
        <v>0</v>
      </c>
      <c r="J89" s="11">
        <v>6250000</v>
      </c>
      <c r="K89" s="11">
        <v>2092500</v>
      </c>
      <c r="L89" s="11">
        <v>15555500</v>
      </c>
      <c r="M89" s="11">
        <v>11319700</v>
      </c>
      <c r="N89" s="11">
        <v>0</v>
      </c>
    </row>
    <row r="90" spans="1:14" x14ac:dyDescent="0.3">
      <c r="A90" s="10">
        <v>46027</v>
      </c>
      <c r="B90" t="s">
        <v>19</v>
      </c>
      <c r="C90" t="str">
        <f t="shared" si="3"/>
        <v>379851261390</v>
      </c>
      <c r="D90" t="str">
        <f t="shared" si="4"/>
        <v>Client90</v>
      </c>
      <c r="E90" t="str">
        <f t="shared" si="5"/>
        <v>BOB90</v>
      </c>
      <c r="F90" t="s">
        <v>22</v>
      </c>
      <c r="G90" s="11" t="s">
        <v>23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x14ac:dyDescent="0.3">
      <c r="A91" s="10">
        <v>46027</v>
      </c>
      <c r="B91" t="s">
        <v>19</v>
      </c>
      <c r="C91" t="str">
        <f t="shared" si="3"/>
        <v>379851261391</v>
      </c>
      <c r="D91" t="str">
        <f t="shared" si="4"/>
        <v>Client91</v>
      </c>
      <c r="E91" t="str">
        <f t="shared" si="5"/>
        <v>BOB91</v>
      </c>
      <c r="F91" t="s">
        <v>25</v>
      </c>
      <c r="G91" s="11" t="s">
        <v>21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x14ac:dyDescent="0.3">
      <c r="A92" s="10">
        <v>46027</v>
      </c>
      <c r="B92" t="s">
        <v>19</v>
      </c>
      <c r="C92" t="str">
        <f t="shared" si="3"/>
        <v>379851261392</v>
      </c>
      <c r="D92" t="str">
        <f t="shared" si="4"/>
        <v>Client92</v>
      </c>
      <c r="E92" t="str">
        <f t="shared" si="5"/>
        <v>BOB92</v>
      </c>
      <c r="F92" t="s">
        <v>22</v>
      </c>
      <c r="G92" s="11" t="s">
        <v>23</v>
      </c>
      <c r="H92" s="11">
        <v>0</v>
      </c>
      <c r="I92" s="11">
        <v>0</v>
      </c>
      <c r="J92" s="11">
        <v>0</v>
      </c>
      <c r="K92" s="11">
        <v>0</v>
      </c>
      <c r="L92" s="11">
        <v>17207800</v>
      </c>
      <c r="M92" s="11">
        <v>18307400</v>
      </c>
      <c r="N92" s="11">
        <v>0</v>
      </c>
    </row>
    <row r="93" spans="1:14" x14ac:dyDescent="0.3">
      <c r="A93" s="10">
        <v>46027</v>
      </c>
      <c r="B93" t="s">
        <v>19</v>
      </c>
      <c r="C93" t="str">
        <f t="shared" si="3"/>
        <v>379851261393</v>
      </c>
      <c r="D93" t="str">
        <f t="shared" si="4"/>
        <v>Client93</v>
      </c>
      <c r="E93" t="str">
        <f t="shared" si="5"/>
        <v>BOB93</v>
      </c>
      <c r="F93" t="s">
        <v>24</v>
      </c>
      <c r="G93" s="11" t="s">
        <v>21</v>
      </c>
      <c r="H93" s="11">
        <v>0</v>
      </c>
      <c r="I93" s="11">
        <v>0</v>
      </c>
      <c r="J93" s="11">
        <v>0</v>
      </c>
      <c r="K93" s="11">
        <v>316800</v>
      </c>
      <c r="L93" s="11">
        <v>6389200</v>
      </c>
      <c r="M93" s="11">
        <v>6852200</v>
      </c>
      <c r="N93" s="11">
        <v>0</v>
      </c>
    </row>
    <row r="94" spans="1:14" x14ac:dyDescent="0.3">
      <c r="A94" s="10">
        <v>46027</v>
      </c>
      <c r="B94" t="s">
        <v>19</v>
      </c>
      <c r="C94" t="str">
        <f t="shared" si="3"/>
        <v>379851261394</v>
      </c>
      <c r="D94" t="str">
        <f t="shared" si="4"/>
        <v>Client94</v>
      </c>
      <c r="E94" t="str">
        <f t="shared" si="5"/>
        <v>BOB94</v>
      </c>
      <c r="F94" t="s">
        <v>22</v>
      </c>
      <c r="G94" s="11" t="s">
        <v>23</v>
      </c>
      <c r="H94" s="11">
        <v>0</v>
      </c>
      <c r="I94" s="11">
        <v>0</v>
      </c>
      <c r="J94" s="11">
        <v>0</v>
      </c>
      <c r="K94" s="11">
        <v>9009000</v>
      </c>
      <c r="L94" s="11">
        <v>20618100</v>
      </c>
      <c r="M94" s="11">
        <v>26632600</v>
      </c>
      <c r="N94" s="11">
        <v>0</v>
      </c>
    </row>
    <row r="95" spans="1:14" x14ac:dyDescent="0.3">
      <c r="A95" s="10">
        <v>46027</v>
      </c>
      <c r="B95" t="s">
        <v>19</v>
      </c>
      <c r="C95" t="str">
        <f t="shared" si="3"/>
        <v>379851261395</v>
      </c>
      <c r="D95" t="str">
        <f t="shared" si="4"/>
        <v>Client95</v>
      </c>
      <c r="E95" t="str">
        <f t="shared" si="5"/>
        <v>BOB95</v>
      </c>
      <c r="F95" t="s">
        <v>22</v>
      </c>
      <c r="G95" s="11" t="s">
        <v>23</v>
      </c>
      <c r="H95" s="11">
        <v>0</v>
      </c>
      <c r="I95" s="11">
        <v>0</v>
      </c>
      <c r="J95" s="11">
        <v>0</v>
      </c>
      <c r="K95" s="11">
        <v>0</v>
      </c>
      <c r="L95" s="11">
        <v>18545800</v>
      </c>
      <c r="M95" s="11">
        <v>18051100</v>
      </c>
      <c r="N95" s="11">
        <v>3800000</v>
      </c>
    </row>
    <row r="96" spans="1:14" x14ac:dyDescent="0.3">
      <c r="A96" s="10">
        <v>46027</v>
      </c>
      <c r="B96" t="s">
        <v>19</v>
      </c>
      <c r="C96" t="str">
        <f t="shared" si="3"/>
        <v>379851261396</v>
      </c>
      <c r="D96" t="str">
        <f t="shared" si="4"/>
        <v>Client96</v>
      </c>
      <c r="E96" t="str">
        <f t="shared" si="5"/>
        <v>BOB96</v>
      </c>
      <c r="F96" t="s">
        <v>25</v>
      </c>
      <c r="G96" s="11" t="s">
        <v>21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</row>
    <row r="97" spans="1:14" x14ac:dyDescent="0.3">
      <c r="A97" s="10">
        <v>46027</v>
      </c>
      <c r="B97" t="s">
        <v>19</v>
      </c>
      <c r="C97" t="str">
        <f t="shared" si="3"/>
        <v>379851261397</v>
      </c>
      <c r="D97" t="str">
        <f t="shared" si="4"/>
        <v>Client97</v>
      </c>
      <c r="E97" t="str">
        <f t="shared" si="5"/>
        <v>BOB97</v>
      </c>
      <c r="F97" t="s">
        <v>22</v>
      </c>
      <c r="G97" s="11" t="s">
        <v>23</v>
      </c>
      <c r="H97" s="11">
        <v>0</v>
      </c>
      <c r="I97" s="11">
        <v>0</v>
      </c>
      <c r="J97" s="11">
        <v>0</v>
      </c>
      <c r="K97" s="11">
        <v>1001000</v>
      </c>
      <c r="L97" s="11">
        <v>1843400</v>
      </c>
      <c r="M97" s="11">
        <v>2967100</v>
      </c>
      <c r="N97" s="11">
        <v>0</v>
      </c>
    </row>
    <row r="98" spans="1:14" x14ac:dyDescent="0.3">
      <c r="A98" s="10">
        <v>46027</v>
      </c>
      <c r="B98" t="s">
        <v>19</v>
      </c>
      <c r="C98" t="str">
        <f t="shared" si="3"/>
        <v>379851261398</v>
      </c>
      <c r="D98" t="str">
        <f t="shared" si="4"/>
        <v>Client98</v>
      </c>
      <c r="E98" t="str">
        <f t="shared" si="5"/>
        <v>BOB98</v>
      </c>
      <c r="F98" t="s">
        <v>25</v>
      </c>
      <c r="G98" s="11" t="s">
        <v>21</v>
      </c>
      <c r="H98" s="11">
        <v>0</v>
      </c>
      <c r="I98" s="11">
        <v>0</v>
      </c>
      <c r="J98" s="11">
        <v>17656000</v>
      </c>
      <c r="K98" s="11">
        <v>14683000</v>
      </c>
      <c r="L98" s="11">
        <v>29580900</v>
      </c>
      <c r="M98" s="11">
        <v>26642000</v>
      </c>
      <c r="N98" s="11">
        <v>0</v>
      </c>
    </row>
    <row r="99" spans="1:14" x14ac:dyDescent="0.3">
      <c r="A99" s="10">
        <v>46027</v>
      </c>
      <c r="B99" t="s">
        <v>19</v>
      </c>
      <c r="C99" t="str">
        <f t="shared" si="3"/>
        <v>379851261399</v>
      </c>
      <c r="D99" t="str">
        <f t="shared" si="4"/>
        <v>Client99</v>
      </c>
      <c r="E99" t="str">
        <f t="shared" si="5"/>
        <v>BOB99</v>
      </c>
      <c r="F99" t="s">
        <v>25</v>
      </c>
      <c r="G99" s="11" t="s">
        <v>21</v>
      </c>
      <c r="H99" s="11">
        <v>0</v>
      </c>
      <c r="I99" s="11">
        <v>1530000</v>
      </c>
      <c r="J99" s="11">
        <v>5000000</v>
      </c>
      <c r="K99" s="11">
        <v>0</v>
      </c>
      <c r="L99" s="11">
        <v>9709400</v>
      </c>
      <c r="M99" s="11">
        <v>6395500</v>
      </c>
      <c r="N99" s="11">
        <v>0</v>
      </c>
    </row>
    <row r="100" spans="1:14" x14ac:dyDescent="0.3">
      <c r="A100" s="10">
        <v>46027</v>
      </c>
      <c r="B100" t="s">
        <v>19</v>
      </c>
      <c r="C100" t="str">
        <f t="shared" si="3"/>
        <v>3798512613100</v>
      </c>
      <c r="D100" t="str">
        <f t="shared" si="4"/>
        <v>Client100</v>
      </c>
      <c r="E100" t="str">
        <f t="shared" si="5"/>
        <v>BOB100</v>
      </c>
      <c r="F100" t="s">
        <v>54</v>
      </c>
      <c r="G100" s="11" t="s">
        <v>54</v>
      </c>
      <c r="H100" s="11">
        <v>0</v>
      </c>
      <c r="I100" s="11">
        <v>0</v>
      </c>
      <c r="J100" s="11">
        <v>0</v>
      </c>
      <c r="K100" s="11">
        <v>0</v>
      </c>
      <c r="L100" s="11">
        <v>8000</v>
      </c>
      <c r="M100" s="11">
        <v>3000000</v>
      </c>
      <c r="N100" s="11">
        <v>0</v>
      </c>
    </row>
    <row r="101" spans="1:14" x14ac:dyDescent="0.3">
      <c r="A101" s="10">
        <v>46027</v>
      </c>
      <c r="B101" t="s">
        <v>19</v>
      </c>
      <c r="C101" t="str">
        <f t="shared" si="3"/>
        <v>3798512613101</v>
      </c>
      <c r="D101" t="str">
        <f t="shared" si="4"/>
        <v>Client101</v>
      </c>
      <c r="E101" t="str">
        <f t="shared" si="5"/>
        <v>BOB101</v>
      </c>
      <c r="F101" t="s">
        <v>25</v>
      </c>
      <c r="G101" s="11" t="s">
        <v>21</v>
      </c>
      <c r="H101" s="11">
        <v>0</v>
      </c>
      <c r="I101" s="11">
        <v>0</v>
      </c>
      <c r="J101" s="11">
        <v>0</v>
      </c>
      <c r="K101" s="11">
        <v>3500000</v>
      </c>
      <c r="L101" s="11">
        <v>19872800</v>
      </c>
      <c r="M101" s="11">
        <v>30155300</v>
      </c>
      <c r="N101" s="11">
        <v>0</v>
      </c>
    </row>
    <row r="102" spans="1:14" x14ac:dyDescent="0.3">
      <c r="A102" s="10">
        <v>46027</v>
      </c>
      <c r="B102" t="s">
        <v>19</v>
      </c>
      <c r="C102" t="str">
        <f t="shared" si="3"/>
        <v>3798512613102</v>
      </c>
      <c r="D102" t="str">
        <f t="shared" si="4"/>
        <v>Client102</v>
      </c>
      <c r="E102" t="str">
        <f t="shared" si="5"/>
        <v>BOB102</v>
      </c>
      <c r="F102" t="s">
        <v>20</v>
      </c>
      <c r="G102" s="11" t="s">
        <v>21</v>
      </c>
      <c r="H102" s="11">
        <v>0</v>
      </c>
      <c r="I102" s="11">
        <v>0</v>
      </c>
      <c r="J102" s="11">
        <v>0</v>
      </c>
      <c r="K102" s="11">
        <v>3500000</v>
      </c>
      <c r="L102" s="11">
        <v>9632500</v>
      </c>
      <c r="M102" s="11">
        <v>10838200</v>
      </c>
      <c r="N102" s="11">
        <v>0</v>
      </c>
    </row>
    <row r="103" spans="1:14" x14ac:dyDescent="0.3">
      <c r="A103" s="10">
        <v>46027</v>
      </c>
      <c r="B103" t="s">
        <v>19</v>
      </c>
      <c r="C103" t="str">
        <f t="shared" si="3"/>
        <v>3798512613103</v>
      </c>
      <c r="D103" t="str">
        <f t="shared" si="4"/>
        <v>Client103</v>
      </c>
      <c r="E103" t="str">
        <f t="shared" si="5"/>
        <v>BOB103</v>
      </c>
      <c r="F103" t="s">
        <v>25</v>
      </c>
      <c r="G103" s="11" t="s">
        <v>21</v>
      </c>
      <c r="H103" s="11">
        <v>0</v>
      </c>
      <c r="I103" s="11">
        <v>0</v>
      </c>
      <c r="J103" s="11">
        <v>0</v>
      </c>
      <c r="K103" s="11">
        <v>0</v>
      </c>
      <c r="L103" s="11">
        <v>18788000</v>
      </c>
      <c r="M103" s="11">
        <v>18799800</v>
      </c>
      <c r="N103" s="11">
        <v>0</v>
      </c>
    </row>
    <row r="104" spans="1:14" x14ac:dyDescent="0.3">
      <c r="A104" s="10">
        <v>46027</v>
      </c>
      <c r="B104" t="s">
        <v>19</v>
      </c>
      <c r="C104" t="str">
        <f t="shared" si="3"/>
        <v>3798512613104</v>
      </c>
      <c r="D104" t="str">
        <f t="shared" si="4"/>
        <v>Client104</v>
      </c>
      <c r="E104" t="str">
        <f t="shared" si="5"/>
        <v>BOB104</v>
      </c>
      <c r="F104" t="s">
        <v>24</v>
      </c>
      <c r="G104" s="11" t="s">
        <v>55</v>
      </c>
      <c r="H104" s="11">
        <v>0</v>
      </c>
      <c r="I104" s="11">
        <v>0</v>
      </c>
      <c r="J104" s="11">
        <v>0</v>
      </c>
      <c r="K104" s="11">
        <v>0</v>
      </c>
      <c r="L104" s="11">
        <v>10080200</v>
      </c>
      <c r="M104" s="11">
        <v>9111500</v>
      </c>
      <c r="N104" s="11">
        <v>0</v>
      </c>
    </row>
    <row r="105" spans="1:14" x14ac:dyDescent="0.3">
      <c r="A105" s="10">
        <v>46027</v>
      </c>
      <c r="B105" t="s">
        <v>19</v>
      </c>
      <c r="C105" t="str">
        <f t="shared" si="3"/>
        <v>3798512613105</v>
      </c>
      <c r="D105" t="str">
        <f t="shared" si="4"/>
        <v>Client105</v>
      </c>
      <c r="E105" t="str">
        <f t="shared" si="5"/>
        <v>BOB105</v>
      </c>
      <c r="G105" s="11"/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</row>
    <row r="106" spans="1:14" x14ac:dyDescent="0.3">
      <c r="A106" s="10">
        <v>46027</v>
      </c>
      <c r="B106" t="s">
        <v>19</v>
      </c>
      <c r="C106" t="str">
        <f t="shared" si="3"/>
        <v>3798512613106</v>
      </c>
      <c r="D106" t="str">
        <f t="shared" si="4"/>
        <v>Client106</v>
      </c>
      <c r="E106" t="str">
        <f t="shared" si="5"/>
        <v>BOB106</v>
      </c>
      <c r="F106" t="s">
        <v>22</v>
      </c>
      <c r="G106" s="11" t="s">
        <v>23</v>
      </c>
      <c r="H106" s="11">
        <v>0</v>
      </c>
      <c r="I106" s="11">
        <v>0</v>
      </c>
      <c r="J106" s="11">
        <v>0</v>
      </c>
      <c r="K106" s="11">
        <v>13013000</v>
      </c>
      <c r="L106" s="11">
        <v>45086800</v>
      </c>
      <c r="M106" s="11">
        <v>57493800</v>
      </c>
      <c r="N106" s="11">
        <v>5000000</v>
      </c>
    </row>
    <row r="107" spans="1:14" x14ac:dyDescent="0.3">
      <c r="A107" s="10">
        <v>46027</v>
      </c>
      <c r="B107" t="s">
        <v>19</v>
      </c>
      <c r="C107" t="str">
        <f t="shared" si="3"/>
        <v>3798512613107</v>
      </c>
      <c r="D107" t="str">
        <f t="shared" si="4"/>
        <v>Client107</v>
      </c>
      <c r="E107" t="str">
        <f t="shared" si="5"/>
        <v>BOB107</v>
      </c>
      <c r="F107" t="s">
        <v>22</v>
      </c>
      <c r="G107" s="11" t="s">
        <v>56</v>
      </c>
      <c r="H107" s="11">
        <v>0</v>
      </c>
      <c r="I107" s="11">
        <v>0</v>
      </c>
      <c r="J107" s="11">
        <v>1000000</v>
      </c>
      <c r="K107" s="11">
        <v>0</v>
      </c>
      <c r="L107" s="11">
        <v>14288200</v>
      </c>
      <c r="M107" s="11">
        <v>11493400</v>
      </c>
      <c r="N107" s="11">
        <v>0</v>
      </c>
    </row>
    <row r="108" spans="1:14" x14ac:dyDescent="0.3">
      <c r="A108" s="10">
        <v>46027</v>
      </c>
      <c r="B108" t="s">
        <v>19</v>
      </c>
      <c r="C108" t="str">
        <f t="shared" si="3"/>
        <v>3798512613108</v>
      </c>
      <c r="D108" t="str">
        <f t="shared" si="4"/>
        <v>Client108</v>
      </c>
      <c r="E108" t="str">
        <f t="shared" si="5"/>
        <v>BOB108</v>
      </c>
      <c r="F108" t="s">
        <v>20</v>
      </c>
      <c r="G108" s="11" t="s">
        <v>21</v>
      </c>
      <c r="H108" s="11">
        <v>0</v>
      </c>
      <c r="I108" s="11">
        <v>0</v>
      </c>
      <c r="J108" s="11">
        <v>0</v>
      </c>
      <c r="K108" s="11">
        <v>0</v>
      </c>
      <c r="L108" s="11">
        <v>2811800</v>
      </c>
      <c r="M108" s="11">
        <v>3086000</v>
      </c>
      <c r="N108" s="11">
        <v>0</v>
      </c>
    </row>
    <row r="109" spans="1:14" x14ac:dyDescent="0.3">
      <c r="A109" s="10">
        <v>46027</v>
      </c>
      <c r="B109" t="s">
        <v>19</v>
      </c>
      <c r="C109" t="str">
        <f t="shared" si="3"/>
        <v>3798512613109</v>
      </c>
      <c r="D109" t="str">
        <f t="shared" si="4"/>
        <v>Client109</v>
      </c>
      <c r="E109" t="str">
        <f t="shared" si="5"/>
        <v>BOB109</v>
      </c>
      <c r="F109" t="s">
        <v>22</v>
      </c>
      <c r="G109" s="11" t="s">
        <v>23</v>
      </c>
      <c r="H109" s="11">
        <v>0</v>
      </c>
      <c r="I109" s="11">
        <v>0</v>
      </c>
      <c r="J109" s="11">
        <v>0</v>
      </c>
      <c r="K109" s="11">
        <v>800800</v>
      </c>
      <c r="L109" s="11">
        <v>7667800</v>
      </c>
      <c r="M109" s="11">
        <v>9556700</v>
      </c>
      <c r="N109" s="11">
        <v>0</v>
      </c>
    </row>
    <row r="110" spans="1:14" x14ac:dyDescent="0.3">
      <c r="A110" s="10">
        <v>46027</v>
      </c>
      <c r="B110" t="s">
        <v>19</v>
      </c>
      <c r="C110" t="str">
        <f t="shared" si="3"/>
        <v>3798512613110</v>
      </c>
      <c r="D110" t="str">
        <f t="shared" si="4"/>
        <v>Client110</v>
      </c>
      <c r="E110" t="str">
        <f t="shared" si="5"/>
        <v>BOB110</v>
      </c>
      <c r="F110" t="s">
        <v>25</v>
      </c>
      <c r="G110" s="11" t="s">
        <v>21</v>
      </c>
      <c r="H110" s="11">
        <v>0</v>
      </c>
      <c r="I110" s="11">
        <v>0</v>
      </c>
      <c r="J110" s="11">
        <v>7000000</v>
      </c>
      <c r="K110" s="11">
        <v>1000000</v>
      </c>
      <c r="L110" s="11">
        <v>21321200</v>
      </c>
      <c r="M110" s="11">
        <v>15747800</v>
      </c>
      <c r="N110" s="11">
        <v>0</v>
      </c>
    </row>
    <row r="111" spans="1:14" x14ac:dyDescent="0.3">
      <c r="A111" s="10">
        <v>46027</v>
      </c>
      <c r="B111" t="s">
        <v>19</v>
      </c>
      <c r="C111" t="str">
        <f t="shared" si="3"/>
        <v>3798512613111</v>
      </c>
      <c r="D111" t="str">
        <f t="shared" si="4"/>
        <v>Client111</v>
      </c>
      <c r="E111" t="str">
        <f t="shared" si="5"/>
        <v>BOB111</v>
      </c>
      <c r="F111" t="s">
        <v>57</v>
      </c>
      <c r="G111" s="11" t="s">
        <v>58</v>
      </c>
      <c r="H111" s="11">
        <v>0</v>
      </c>
      <c r="I111" s="11">
        <v>0</v>
      </c>
      <c r="J111" s="11">
        <v>2798200</v>
      </c>
      <c r="K111" s="11">
        <v>0</v>
      </c>
      <c r="L111" s="11">
        <v>11518800</v>
      </c>
      <c r="M111" s="11">
        <v>8363300</v>
      </c>
      <c r="N111" s="11">
        <v>0</v>
      </c>
    </row>
    <row r="112" spans="1:14" x14ac:dyDescent="0.3">
      <c r="A112" s="10">
        <v>46027</v>
      </c>
      <c r="B112" t="s">
        <v>19</v>
      </c>
      <c r="C112" t="str">
        <f t="shared" si="3"/>
        <v>3798512613112</v>
      </c>
      <c r="D112" t="str">
        <f t="shared" si="4"/>
        <v>Client112</v>
      </c>
      <c r="E112" t="str">
        <f t="shared" si="5"/>
        <v>BOB112</v>
      </c>
      <c r="F112" t="s">
        <v>57</v>
      </c>
      <c r="G112" s="11" t="s">
        <v>57</v>
      </c>
      <c r="H112" s="11">
        <v>0</v>
      </c>
      <c r="I112" s="11">
        <v>0</v>
      </c>
      <c r="J112" s="11">
        <v>3500000</v>
      </c>
      <c r="K112" s="11">
        <v>2004000</v>
      </c>
      <c r="L112" s="11">
        <v>8016900</v>
      </c>
      <c r="M112" s="11">
        <v>6320800</v>
      </c>
      <c r="N112" s="11">
        <v>0</v>
      </c>
    </row>
    <row r="113" spans="1:14" x14ac:dyDescent="0.3">
      <c r="A113" s="10">
        <v>46027</v>
      </c>
      <c r="B113" t="s">
        <v>19</v>
      </c>
      <c r="C113" t="str">
        <f t="shared" si="3"/>
        <v>3798512613113</v>
      </c>
      <c r="D113" t="str">
        <f t="shared" si="4"/>
        <v>Client113</v>
      </c>
      <c r="E113" t="str">
        <f t="shared" si="5"/>
        <v>BOB113</v>
      </c>
      <c r="F113" t="s">
        <v>24</v>
      </c>
      <c r="G113" s="11" t="s">
        <v>21</v>
      </c>
      <c r="H113" s="11">
        <v>0</v>
      </c>
      <c r="I113" s="11">
        <v>6000000</v>
      </c>
      <c r="J113" s="11">
        <v>6200000</v>
      </c>
      <c r="K113" s="11">
        <v>21300000</v>
      </c>
      <c r="L113" s="11">
        <v>52799900</v>
      </c>
      <c r="M113" s="11">
        <v>70811400</v>
      </c>
      <c r="N113" s="11">
        <v>0</v>
      </c>
    </row>
    <row r="114" spans="1:14" x14ac:dyDescent="0.3">
      <c r="A114" s="10">
        <v>46027</v>
      </c>
      <c r="B114" t="s">
        <v>19</v>
      </c>
      <c r="C114" t="str">
        <f t="shared" si="3"/>
        <v>3798512613114</v>
      </c>
      <c r="D114" t="str">
        <f t="shared" si="4"/>
        <v>Client114</v>
      </c>
      <c r="E114" t="str">
        <f t="shared" si="5"/>
        <v>BOB114</v>
      </c>
      <c r="F114" t="s">
        <v>22</v>
      </c>
      <c r="G114" s="11" t="s">
        <v>23</v>
      </c>
      <c r="H114" s="11">
        <v>0</v>
      </c>
      <c r="I114" s="11">
        <v>0</v>
      </c>
      <c r="J114" s="11">
        <v>0</v>
      </c>
      <c r="K114" s="11">
        <v>9009000</v>
      </c>
      <c r="L114" s="11">
        <v>5396100</v>
      </c>
      <c r="M114" s="11">
        <v>15325700</v>
      </c>
      <c r="N114" s="11">
        <v>0</v>
      </c>
    </row>
    <row r="115" spans="1:14" x14ac:dyDescent="0.3">
      <c r="A115" s="10">
        <v>46027</v>
      </c>
      <c r="B115" t="s">
        <v>19</v>
      </c>
      <c r="C115" t="str">
        <f t="shared" si="3"/>
        <v>3798512613115</v>
      </c>
      <c r="D115" t="str">
        <f t="shared" si="4"/>
        <v>Client115</v>
      </c>
      <c r="E115" t="str">
        <f t="shared" si="5"/>
        <v>BOB115</v>
      </c>
      <c r="F115" t="s">
        <v>25</v>
      </c>
      <c r="G115" s="11" t="s">
        <v>21</v>
      </c>
      <c r="H115" s="11">
        <v>0</v>
      </c>
      <c r="I115" s="11">
        <v>210000</v>
      </c>
      <c r="J115" s="11">
        <v>63512450</v>
      </c>
      <c r="K115" s="11">
        <v>200000</v>
      </c>
      <c r="L115" s="11">
        <v>63204300</v>
      </c>
      <c r="M115" s="11">
        <v>0</v>
      </c>
      <c r="N115" s="11">
        <v>0</v>
      </c>
    </row>
    <row r="116" spans="1:14" x14ac:dyDescent="0.3">
      <c r="A116" s="10">
        <v>46027</v>
      </c>
      <c r="B116" t="s">
        <v>19</v>
      </c>
      <c r="C116" t="str">
        <f t="shared" si="3"/>
        <v>3798512613116</v>
      </c>
      <c r="D116" t="str">
        <f t="shared" si="4"/>
        <v>Client116</v>
      </c>
      <c r="E116" t="str">
        <f t="shared" si="5"/>
        <v>BOB116</v>
      </c>
      <c r="F116" t="s">
        <v>24</v>
      </c>
      <c r="G116" s="11" t="s">
        <v>21</v>
      </c>
      <c r="H116" s="11">
        <v>0</v>
      </c>
      <c r="I116" s="11">
        <v>0</v>
      </c>
      <c r="J116" s="11">
        <v>0</v>
      </c>
      <c r="K116" s="11">
        <v>0</v>
      </c>
      <c r="L116" s="11">
        <v>10992100</v>
      </c>
      <c r="M116" s="11">
        <v>10983400</v>
      </c>
      <c r="N116" s="11">
        <v>0</v>
      </c>
    </row>
    <row r="117" spans="1:14" x14ac:dyDescent="0.3">
      <c r="A117" s="10">
        <v>46027</v>
      </c>
      <c r="B117" t="s">
        <v>19</v>
      </c>
      <c r="C117" t="str">
        <f t="shared" si="3"/>
        <v>3798512613117</v>
      </c>
      <c r="D117" t="str">
        <f t="shared" si="4"/>
        <v>Client117</v>
      </c>
      <c r="E117" t="str">
        <f t="shared" si="5"/>
        <v>BOB117</v>
      </c>
      <c r="F117" t="s">
        <v>20</v>
      </c>
      <c r="G117" s="11" t="s">
        <v>21</v>
      </c>
      <c r="H117" s="11">
        <v>0</v>
      </c>
      <c r="I117" s="11">
        <v>2003000</v>
      </c>
      <c r="J117" s="11">
        <v>1700000</v>
      </c>
      <c r="K117" s="11">
        <v>1700000</v>
      </c>
      <c r="L117" s="11">
        <v>10533400</v>
      </c>
      <c r="M117" s="11">
        <v>11573900</v>
      </c>
      <c r="N117" s="11">
        <v>0</v>
      </c>
    </row>
    <row r="118" spans="1:14" x14ac:dyDescent="0.3">
      <c r="A118" s="10">
        <v>46027</v>
      </c>
      <c r="B118" t="s">
        <v>19</v>
      </c>
      <c r="C118" t="str">
        <f t="shared" si="3"/>
        <v>3798512613118</v>
      </c>
      <c r="D118" t="str">
        <f t="shared" si="4"/>
        <v>Client118</v>
      </c>
      <c r="E118" t="str">
        <f t="shared" si="5"/>
        <v>BOB118</v>
      </c>
      <c r="F118" t="s">
        <v>57</v>
      </c>
      <c r="G118" s="11" t="s">
        <v>58</v>
      </c>
      <c r="H118" s="11">
        <v>0</v>
      </c>
      <c r="I118" s="11">
        <v>0</v>
      </c>
      <c r="J118" s="11">
        <v>0</v>
      </c>
      <c r="K118" s="11">
        <v>0</v>
      </c>
      <c r="L118" s="11">
        <v>5596000</v>
      </c>
      <c r="M118" s="11">
        <v>15611700</v>
      </c>
      <c r="N118" s="11">
        <v>0</v>
      </c>
    </row>
    <row r="119" spans="1:14" x14ac:dyDescent="0.3">
      <c r="A119" s="10">
        <v>46027</v>
      </c>
      <c r="B119" t="s">
        <v>19</v>
      </c>
      <c r="C119" t="str">
        <f t="shared" si="3"/>
        <v>3798512613119</v>
      </c>
      <c r="D119" t="str">
        <f t="shared" si="4"/>
        <v>Client119</v>
      </c>
      <c r="E119" t="str">
        <f t="shared" si="5"/>
        <v>BOB119</v>
      </c>
      <c r="F119" t="s">
        <v>25</v>
      </c>
      <c r="G119" s="11" t="s">
        <v>21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</row>
    <row r="120" spans="1:14" x14ac:dyDescent="0.3">
      <c r="A120" s="10">
        <v>46027</v>
      </c>
      <c r="B120" t="s">
        <v>19</v>
      </c>
      <c r="C120" t="str">
        <f t="shared" si="3"/>
        <v>3798512613120</v>
      </c>
      <c r="D120" t="str">
        <f t="shared" si="4"/>
        <v>Client120</v>
      </c>
      <c r="E120" t="str">
        <f t="shared" si="5"/>
        <v>BOB120</v>
      </c>
      <c r="F120" t="s">
        <v>25</v>
      </c>
      <c r="G120" s="11" t="s">
        <v>21</v>
      </c>
      <c r="H120" s="11">
        <v>0</v>
      </c>
      <c r="I120" s="11">
        <v>0</v>
      </c>
      <c r="J120" s="11">
        <v>0</v>
      </c>
      <c r="K120" s="11">
        <v>0</v>
      </c>
      <c r="L120" s="11">
        <v>350000</v>
      </c>
      <c r="M120" s="11">
        <v>387000</v>
      </c>
      <c r="N120" s="11">
        <v>0</v>
      </c>
    </row>
    <row r="121" spans="1:14" x14ac:dyDescent="0.3">
      <c r="A121" s="10">
        <v>46027</v>
      </c>
      <c r="B121" t="s">
        <v>19</v>
      </c>
      <c r="C121" t="str">
        <f t="shared" si="3"/>
        <v>3798512613121</v>
      </c>
      <c r="D121" t="str">
        <f t="shared" si="4"/>
        <v>Client121</v>
      </c>
      <c r="E121" t="str">
        <f t="shared" si="5"/>
        <v>BOB121</v>
      </c>
      <c r="F121" t="s">
        <v>24</v>
      </c>
      <c r="G121" s="11" t="s">
        <v>21</v>
      </c>
      <c r="H121" s="11">
        <v>0</v>
      </c>
      <c r="I121" s="11">
        <v>0</v>
      </c>
      <c r="J121" s="11">
        <v>0</v>
      </c>
      <c r="K121" s="11">
        <v>1501500</v>
      </c>
      <c r="L121" s="11">
        <v>4899500</v>
      </c>
      <c r="M121" s="11">
        <v>6815400</v>
      </c>
      <c r="N121" s="11">
        <v>0</v>
      </c>
    </row>
    <row r="122" spans="1:14" x14ac:dyDescent="0.3">
      <c r="A122" s="10">
        <v>46027</v>
      </c>
      <c r="B122" t="s">
        <v>19</v>
      </c>
      <c r="C122" t="str">
        <f t="shared" si="3"/>
        <v>3798512613122</v>
      </c>
      <c r="D122" t="str">
        <f t="shared" si="4"/>
        <v>Client122</v>
      </c>
      <c r="E122" t="str">
        <f t="shared" si="5"/>
        <v>BOB122</v>
      </c>
      <c r="F122" t="s">
        <v>25</v>
      </c>
      <c r="G122" s="11" t="s">
        <v>21</v>
      </c>
      <c r="H122" s="11">
        <v>0</v>
      </c>
      <c r="I122" s="11">
        <v>0</v>
      </c>
      <c r="J122" s="11">
        <v>0</v>
      </c>
      <c r="K122" s="11">
        <v>0</v>
      </c>
      <c r="L122" s="11">
        <v>7799400</v>
      </c>
      <c r="M122" s="11">
        <v>7173700</v>
      </c>
      <c r="N122" s="11">
        <v>0</v>
      </c>
    </row>
    <row r="123" spans="1:14" x14ac:dyDescent="0.3">
      <c r="A123" s="10">
        <v>46027</v>
      </c>
      <c r="B123" t="s">
        <v>19</v>
      </c>
      <c r="C123" t="str">
        <f t="shared" si="3"/>
        <v>3798512613123</v>
      </c>
      <c r="D123" t="str">
        <f t="shared" si="4"/>
        <v>Client123</v>
      </c>
      <c r="E123" t="str">
        <f t="shared" si="5"/>
        <v>BOB123</v>
      </c>
      <c r="F123" t="s">
        <v>25</v>
      </c>
      <c r="G123" s="11" t="s">
        <v>21</v>
      </c>
      <c r="H123" s="11">
        <v>0</v>
      </c>
      <c r="I123" s="11">
        <v>0</v>
      </c>
      <c r="J123" s="11">
        <v>0</v>
      </c>
      <c r="K123" s="11">
        <v>0</v>
      </c>
      <c r="L123" s="11">
        <v>7841400</v>
      </c>
      <c r="M123" s="11">
        <v>7638800</v>
      </c>
      <c r="N123" s="11">
        <v>0</v>
      </c>
    </row>
    <row r="124" spans="1:14" x14ac:dyDescent="0.3">
      <c r="A124" s="10">
        <v>46027</v>
      </c>
      <c r="B124" t="s">
        <v>19</v>
      </c>
      <c r="C124" t="str">
        <f t="shared" si="3"/>
        <v>3798512613124</v>
      </c>
      <c r="D124" t="str">
        <f t="shared" si="4"/>
        <v>Client124</v>
      </c>
      <c r="E124" t="str">
        <f t="shared" si="5"/>
        <v>BOB124</v>
      </c>
      <c r="F124" t="s">
        <v>26</v>
      </c>
      <c r="G124" s="11" t="s">
        <v>53</v>
      </c>
      <c r="H124" s="11">
        <v>0</v>
      </c>
      <c r="I124" s="11">
        <v>0</v>
      </c>
      <c r="J124" s="11">
        <v>0</v>
      </c>
      <c r="K124" s="11">
        <v>0</v>
      </c>
      <c r="L124" s="11">
        <v>129600</v>
      </c>
      <c r="M124" s="11">
        <v>74900</v>
      </c>
      <c r="N124" s="11">
        <v>0</v>
      </c>
    </row>
    <row r="125" spans="1:14" x14ac:dyDescent="0.3">
      <c r="A125" s="10">
        <v>46027</v>
      </c>
      <c r="B125" t="s">
        <v>19</v>
      </c>
      <c r="C125" t="str">
        <f t="shared" si="3"/>
        <v>3798512613125</v>
      </c>
      <c r="D125" t="str">
        <f t="shared" si="4"/>
        <v>Client125</v>
      </c>
      <c r="E125" t="str">
        <f t="shared" si="5"/>
        <v>BOB125</v>
      </c>
      <c r="F125" t="s">
        <v>20</v>
      </c>
      <c r="G125" s="11" t="s">
        <v>21</v>
      </c>
      <c r="H125" s="11">
        <v>0</v>
      </c>
      <c r="I125" s="11">
        <v>0</v>
      </c>
      <c r="J125" s="11">
        <v>0</v>
      </c>
      <c r="K125" s="11">
        <v>1170000</v>
      </c>
      <c r="L125" s="11">
        <v>16368700</v>
      </c>
      <c r="M125" s="11">
        <v>16824200</v>
      </c>
      <c r="N125" s="11">
        <v>0</v>
      </c>
    </row>
    <row r="126" spans="1:14" x14ac:dyDescent="0.3">
      <c r="A126" s="10">
        <v>46027</v>
      </c>
      <c r="B126" t="s">
        <v>19</v>
      </c>
      <c r="C126" t="str">
        <f t="shared" si="3"/>
        <v>3798512613126</v>
      </c>
      <c r="D126" t="str">
        <f t="shared" si="4"/>
        <v>Client126</v>
      </c>
      <c r="E126" t="str">
        <f t="shared" si="5"/>
        <v>BOB126</v>
      </c>
      <c r="F126" t="s">
        <v>20</v>
      </c>
      <c r="G126" s="11" t="s">
        <v>21</v>
      </c>
      <c r="H126" s="11">
        <v>0</v>
      </c>
      <c r="I126" s="11">
        <v>0</v>
      </c>
      <c r="J126" s="11">
        <v>0</v>
      </c>
      <c r="K126" s="11">
        <v>1001500</v>
      </c>
      <c r="L126" s="11">
        <v>6197900</v>
      </c>
      <c r="M126" s="11">
        <v>7283800</v>
      </c>
      <c r="N126" s="11">
        <v>0</v>
      </c>
    </row>
    <row r="127" spans="1:14" x14ac:dyDescent="0.3">
      <c r="A127" s="10">
        <v>46027</v>
      </c>
      <c r="B127" t="s">
        <v>19</v>
      </c>
      <c r="C127" t="str">
        <f t="shared" si="3"/>
        <v>3798512613127</v>
      </c>
      <c r="D127" t="str">
        <f t="shared" si="4"/>
        <v>Client127</v>
      </c>
      <c r="E127" t="str">
        <f t="shared" si="5"/>
        <v>BOB127</v>
      </c>
      <c r="G127" s="11"/>
      <c r="H127" s="11">
        <v>0</v>
      </c>
      <c r="I127" s="11">
        <v>0</v>
      </c>
      <c r="J127" s="11">
        <v>0</v>
      </c>
      <c r="K127" s="11">
        <v>0</v>
      </c>
      <c r="L127" s="11">
        <v>571200</v>
      </c>
      <c r="M127" s="11">
        <v>693000</v>
      </c>
      <c r="N127" s="11">
        <v>0</v>
      </c>
    </row>
    <row r="128" spans="1:14" x14ac:dyDescent="0.3">
      <c r="A128" s="10">
        <v>46027</v>
      </c>
      <c r="B128" t="s">
        <v>19</v>
      </c>
      <c r="C128" t="str">
        <f t="shared" si="3"/>
        <v>3798512613128</v>
      </c>
      <c r="D128" t="str">
        <f t="shared" si="4"/>
        <v>Client128</v>
      </c>
      <c r="E128" t="str">
        <f t="shared" si="5"/>
        <v>BOB128</v>
      </c>
      <c r="F128" t="s">
        <v>25</v>
      </c>
      <c r="G128" s="11" t="s">
        <v>21</v>
      </c>
      <c r="H128" s="11">
        <v>0</v>
      </c>
      <c r="I128" s="11">
        <v>0</v>
      </c>
      <c r="J128" s="11">
        <v>2801000</v>
      </c>
      <c r="K128" s="11">
        <v>2300000</v>
      </c>
      <c r="L128" s="11">
        <v>14496400</v>
      </c>
      <c r="M128" s="11">
        <v>13342300</v>
      </c>
      <c r="N128" s="11">
        <v>0</v>
      </c>
    </row>
    <row r="129" spans="1:14" x14ac:dyDescent="0.3">
      <c r="A129" s="10">
        <v>46027</v>
      </c>
      <c r="B129" t="s">
        <v>19</v>
      </c>
      <c r="C129" t="str">
        <f t="shared" si="3"/>
        <v>3798512613129</v>
      </c>
      <c r="D129" t="str">
        <f t="shared" si="4"/>
        <v>Client129</v>
      </c>
      <c r="E129" t="str">
        <f t="shared" si="5"/>
        <v>BOB129</v>
      </c>
      <c r="F129" t="s">
        <v>25</v>
      </c>
      <c r="G129" s="11" t="s">
        <v>21</v>
      </c>
      <c r="H129" s="11">
        <v>0</v>
      </c>
      <c r="I129" s="11">
        <v>1001500</v>
      </c>
      <c r="J129" s="11">
        <v>0</v>
      </c>
      <c r="K129" s="11">
        <v>0</v>
      </c>
      <c r="L129" s="11">
        <v>5534000</v>
      </c>
      <c r="M129" s="11">
        <v>6306000</v>
      </c>
      <c r="N129" s="11">
        <v>0</v>
      </c>
    </row>
    <row r="130" spans="1:14" x14ac:dyDescent="0.3">
      <c r="A130" s="10">
        <v>46027</v>
      </c>
      <c r="B130" t="s">
        <v>19</v>
      </c>
      <c r="C130" t="str">
        <f t="shared" si="3"/>
        <v>3798512613130</v>
      </c>
      <c r="D130" t="str">
        <f t="shared" si="4"/>
        <v>Client130</v>
      </c>
      <c r="E130" t="str">
        <f t="shared" si="5"/>
        <v>BOB130</v>
      </c>
      <c r="F130" t="s">
        <v>22</v>
      </c>
      <c r="G130" s="11" t="s">
        <v>56</v>
      </c>
      <c r="H130" s="11">
        <v>0</v>
      </c>
      <c r="I130" s="11">
        <v>0</v>
      </c>
      <c r="J130" s="11">
        <v>0</v>
      </c>
      <c r="K130" s="11">
        <v>0</v>
      </c>
      <c r="L130" s="11">
        <v>4688000</v>
      </c>
      <c r="M130" s="11">
        <v>1865000</v>
      </c>
      <c r="N130" s="11">
        <v>0</v>
      </c>
    </row>
    <row r="131" spans="1:14" x14ac:dyDescent="0.3">
      <c r="A131" s="10">
        <v>46027</v>
      </c>
      <c r="B131" t="s">
        <v>19</v>
      </c>
      <c r="C131" t="str">
        <f t="shared" ref="C131:C194" si="6" xml:space="preserve"> "3798512613" &amp; ROW()</f>
        <v>3798512613131</v>
      </c>
      <c r="D131" t="str">
        <f t="shared" ref="D131:D194" si="7">"Client"&amp;ROW()</f>
        <v>Client131</v>
      </c>
      <c r="E131" t="str">
        <f t="shared" ref="E131:E194" si="8">"BOB"&amp;ROW()</f>
        <v>BOB131</v>
      </c>
      <c r="F131" t="s">
        <v>25</v>
      </c>
      <c r="G131" s="11" t="s">
        <v>21</v>
      </c>
      <c r="H131" s="11">
        <v>0</v>
      </c>
      <c r="I131" s="11">
        <v>0</v>
      </c>
      <c r="J131" s="11">
        <v>0</v>
      </c>
      <c r="K131" s="11">
        <v>0</v>
      </c>
      <c r="L131" s="11">
        <v>7911200</v>
      </c>
      <c r="M131" s="11">
        <v>8669300</v>
      </c>
      <c r="N131" s="11">
        <v>0</v>
      </c>
    </row>
    <row r="132" spans="1:14" x14ac:dyDescent="0.3">
      <c r="A132" s="10">
        <v>46027</v>
      </c>
      <c r="B132" t="s">
        <v>19</v>
      </c>
      <c r="C132" t="str">
        <f t="shared" si="6"/>
        <v>3798512613132</v>
      </c>
      <c r="D132" t="str">
        <f t="shared" si="7"/>
        <v>Client132</v>
      </c>
      <c r="E132" t="str">
        <f t="shared" si="8"/>
        <v>BOB132</v>
      </c>
      <c r="F132" t="s">
        <v>25</v>
      </c>
      <c r="G132" s="11" t="s">
        <v>21</v>
      </c>
      <c r="H132" s="11">
        <v>0</v>
      </c>
      <c r="I132" s="11">
        <v>0</v>
      </c>
      <c r="J132" s="11">
        <v>0</v>
      </c>
      <c r="K132" s="11">
        <v>0</v>
      </c>
      <c r="L132" s="11">
        <v>22846200</v>
      </c>
      <c r="M132" s="11">
        <v>19283500</v>
      </c>
      <c r="N132" s="11">
        <v>0</v>
      </c>
    </row>
    <row r="133" spans="1:14" x14ac:dyDescent="0.3">
      <c r="A133" s="10">
        <v>46027</v>
      </c>
      <c r="B133" t="s">
        <v>19</v>
      </c>
      <c r="C133" t="str">
        <f t="shared" si="6"/>
        <v>3798512613133</v>
      </c>
      <c r="D133" t="str">
        <f t="shared" si="7"/>
        <v>Client133</v>
      </c>
      <c r="E133" t="str">
        <f t="shared" si="8"/>
        <v>BOB133</v>
      </c>
      <c r="F133" t="s">
        <v>25</v>
      </c>
      <c r="G133" s="11" t="s">
        <v>21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5000</v>
      </c>
      <c r="N133" s="11">
        <v>0</v>
      </c>
    </row>
    <row r="134" spans="1:14" x14ac:dyDescent="0.3">
      <c r="A134" s="10">
        <v>46027</v>
      </c>
      <c r="B134" t="s">
        <v>19</v>
      </c>
      <c r="C134" t="str">
        <f t="shared" si="6"/>
        <v>3798512613134</v>
      </c>
      <c r="D134" t="str">
        <f t="shared" si="7"/>
        <v>Client134</v>
      </c>
      <c r="E134" t="str">
        <f t="shared" si="8"/>
        <v>BOB134</v>
      </c>
      <c r="F134" t="s">
        <v>25</v>
      </c>
      <c r="G134" s="11" t="s">
        <v>21</v>
      </c>
      <c r="H134" s="11">
        <v>0</v>
      </c>
      <c r="I134" s="11">
        <v>0</v>
      </c>
      <c r="J134" s="11">
        <v>2500000</v>
      </c>
      <c r="K134" s="11">
        <v>1500000</v>
      </c>
      <c r="L134" s="11">
        <v>24290200</v>
      </c>
      <c r="M134" s="11">
        <v>25483200</v>
      </c>
      <c r="N134" s="11">
        <v>0</v>
      </c>
    </row>
    <row r="135" spans="1:14" x14ac:dyDescent="0.3">
      <c r="A135" s="10">
        <v>46027</v>
      </c>
      <c r="B135" t="s">
        <v>19</v>
      </c>
      <c r="C135" t="str">
        <f t="shared" si="6"/>
        <v>3798512613135</v>
      </c>
      <c r="D135" t="str">
        <f t="shared" si="7"/>
        <v>Client135</v>
      </c>
      <c r="E135" t="str">
        <f t="shared" si="8"/>
        <v>BOB135</v>
      </c>
      <c r="F135" t="s">
        <v>25</v>
      </c>
      <c r="G135" s="11" t="s">
        <v>21</v>
      </c>
      <c r="H135" s="11">
        <v>0</v>
      </c>
      <c r="I135" s="11">
        <v>0</v>
      </c>
      <c r="J135" s="11">
        <v>5153800</v>
      </c>
      <c r="K135" s="11">
        <v>2250000</v>
      </c>
      <c r="L135" s="11">
        <v>9313000</v>
      </c>
      <c r="M135" s="11">
        <v>5178500</v>
      </c>
      <c r="N135" s="11">
        <v>0</v>
      </c>
    </row>
    <row r="136" spans="1:14" x14ac:dyDescent="0.3">
      <c r="A136" s="10">
        <v>46027</v>
      </c>
      <c r="B136" t="s">
        <v>19</v>
      </c>
      <c r="C136" t="str">
        <f t="shared" si="6"/>
        <v>3798512613136</v>
      </c>
      <c r="D136" t="str">
        <f t="shared" si="7"/>
        <v>Client136</v>
      </c>
      <c r="E136" t="str">
        <f t="shared" si="8"/>
        <v>BOB136</v>
      </c>
      <c r="F136" t="s">
        <v>42</v>
      </c>
      <c r="G136" s="11" t="s">
        <v>21</v>
      </c>
      <c r="H136" s="11">
        <v>0</v>
      </c>
      <c r="I136" s="11">
        <v>0</v>
      </c>
      <c r="J136" s="11">
        <v>0</v>
      </c>
      <c r="K136" s="11">
        <v>1040000</v>
      </c>
      <c r="L136" s="11">
        <v>331600</v>
      </c>
      <c r="M136" s="11">
        <v>1433000</v>
      </c>
      <c r="N136" s="11">
        <v>0</v>
      </c>
    </row>
    <row r="137" spans="1:14" x14ac:dyDescent="0.3">
      <c r="A137" s="10">
        <v>46027</v>
      </c>
      <c r="B137" t="s">
        <v>19</v>
      </c>
      <c r="C137" t="str">
        <f t="shared" si="6"/>
        <v>3798512613137</v>
      </c>
      <c r="D137" t="str">
        <f t="shared" si="7"/>
        <v>Client137</v>
      </c>
      <c r="E137" t="str">
        <f t="shared" si="8"/>
        <v>BOB137</v>
      </c>
      <c r="F137" t="s">
        <v>51</v>
      </c>
      <c r="G137" s="11" t="s">
        <v>21</v>
      </c>
      <c r="H137" s="11">
        <v>0</v>
      </c>
      <c r="I137" s="11">
        <v>0</v>
      </c>
      <c r="J137" s="11">
        <v>0</v>
      </c>
      <c r="K137" s="11">
        <v>13326700</v>
      </c>
      <c r="L137" s="11">
        <v>17140100</v>
      </c>
      <c r="M137" s="11">
        <v>30090200</v>
      </c>
      <c r="N137" s="11">
        <v>0</v>
      </c>
    </row>
    <row r="138" spans="1:14" x14ac:dyDescent="0.3">
      <c r="A138" s="10">
        <v>46027</v>
      </c>
      <c r="B138" t="s">
        <v>19</v>
      </c>
      <c r="C138" t="str">
        <f t="shared" si="6"/>
        <v>3798512613138</v>
      </c>
      <c r="D138" t="str">
        <f t="shared" si="7"/>
        <v>Client138</v>
      </c>
      <c r="E138" t="str">
        <f t="shared" si="8"/>
        <v>BOB138</v>
      </c>
      <c r="F138" t="s">
        <v>25</v>
      </c>
      <c r="G138" s="11" t="s">
        <v>21</v>
      </c>
      <c r="H138" s="11">
        <v>0</v>
      </c>
      <c r="I138" s="11">
        <v>0</v>
      </c>
      <c r="J138" s="11">
        <v>0</v>
      </c>
      <c r="K138" s="11">
        <v>0</v>
      </c>
      <c r="L138" s="11">
        <v>47269500</v>
      </c>
      <c r="M138" s="11">
        <v>44350900</v>
      </c>
      <c r="N138" s="11">
        <v>0</v>
      </c>
    </row>
    <row r="139" spans="1:14" x14ac:dyDescent="0.3">
      <c r="A139" s="10">
        <v>46027</v>
      </c>
      <c r="B139" t="s">
        <v>19</v>
      </c>
      <c r="C139" t="str">
        <f t="shared" si="6"/>
        <v>3798512613139</v>
      </c>
      <c r="D139" t="str">
        <f t="shared" si="7"/>
        <v>Client139</v>
      </c>
      <c r="E139" t="str">
        <f t="shared" si="8"/>
        <v>BOB139</v>
      </c>
      <c r="F139" t="s">
        <v>20</v>
      </c>
      <c r="G139" s="11" t="s">
        <v>21</v>
      </c>
      <c r="H139" s="11">
        <v>0</v>
      </c>
      <c r="I139" s="11">
        <v>0</v>
      </c>
      <c r="J139" s="11">
        <v>0</v>
      </c>
      <c r="K139" s="11">
        <v>0</v>
      </c>
      <c r="L139" s="11">
        <v>21673800</v>
      </c>
      <c r="M139" s="11">
        <v>23775900</v>
      </c>
      <c r="N139" s="11">
        <v>0</v>
      </c>
    </row>
    <row r="140" spans="1:14" x14ac:dyDescent="0.3">
      <c r="A140" s="10">
        <v>46027</v>
      </c>
      <c r="B140" t="s">
        <v>19</v>
      </c>
      <c r="C140" t="str">
        <f t="shared" si="6"/>
        <v>3798512613140</v>
      </c>
      <c r="D140" t="str">
        <f t="shared" si="7"/>
        <v>Client140</v>
      </c>
      <c r="E140" t="str">
        <f t="shared" si="8"/>
        <v>BOB140</v>
      </c>
      <c r="F140" t="s">
        <v>22</v>
      </c>
      <c r="G140" s="11" t="s">
        <v>23</v>
      </c>
      <c r="H140" s="11">
        <v>0</v>
      </c>
      <c r="I140" s="11">
        <v>0</v>
      </c>
      <c r="J140" s="11">
        <v>899100</v>
      </c>
      <c r="K140" s="11">
        <v>1278000</v>
      </c>
      <c r="L140" s="11">
        <v>15236200</v>
      </c>
      <c r="M140" s="11">
        <v>15499400</v>
      </c>
      <c r="N140" s="11">
        <v>0</v>
      </c>
    </row>
    <row r="141" spans="1:14" x14ac:dyDescent="0.3">
      <c r="A141" s="10">
        <v>46027</v>
      </c>
      <c r="B141" t="s">
        <v>19</v>
      </c>
      <c r="C141" t="str">
        <f t="shared" si="6"/>
        <v>3798512613141</v>
      </c>
      <c r="D141" t="str">
        <f t="shared" si="7"/>
        <v>Client141</v>
      </c>
      <c r="E141" t="str">
        <f t="shared" si="8"/>
        <v>BOB141</v>
      </c>
      <c r="F141" t="s">
        <v>25</v>
      </c>
      <c r="G141" s="11" t="s">
        <v>21</v>
      </c>
      <c r="H141" s="11">
        <v>0</v>
      </c>
      <c r="I141" s="11">
        <v>0</v>
      </c>
      <c r="J141" s="11">
        <v>0</v>
      </c>
      <c r="K141" s="11">
        <v>0</v>
      </c>
      <c r="L141" s="11">
        <v>314600</v>
      </c>
      <c r="M141" s="11">
        <v>310000</v>
      </c>
      <c r="N141" s="11">
        <v>0</v>
      </c>
    </row>
    <row r="142" spans="1:14" x14ac:dyDescent="0.3">
      <c r="A142" s="10">
        <v>46027</v>
      </c>
      <c r="B142" t="s">
        <v>19</v>
      </c>
      <c r="C142" t="str">
        <f t="shared" si="6"/>
        <v>3798512613142</v>
      </c>
      <c r="D142" t="str">
        <f t="shared" si="7"/>
        <v>Client142</v>
      </c>
      <c r="E142" t="str">
        <f t="shared" si="8"/>
        <v>BOB142</v>
      </c>
      <c r="F142" t="s">
        <v>22</v>
      </c>
      <c r="G142" s="11" t="s">
        <v>23</v>
      </c>
      <c r="H142" s="11">
        <v>0</v>
      </c>
      <c r="I142" s="11">
        <v>0</v>
      </c>
      <c r="J142" s="11">
        <v>3200000</v>
      </c>
      <c r="K142" s="11">
        <v>0</v>
      </c>
      <c r="L142" s="11">
        <v>9851600</v>
      </c>
      <c r="M142" s="11">
        <v>6868900</v>
      </c>
      <c r="N142" s="11">
        <v>0</v>
      </c>
    </row>
    <row r="143" spans="1:14" x14ac:dyDescent="0.3">
      <c r="A143" s="10">
        <v>46027</v>
      </c>
      <c r="B143" t="s">
        <v>19</v>
      </c>
      <c r="C143" t="str">
        <f t="shared" si="6"/>
        <v>3798512613143</v>
      </c>
      <c r="D143" t="str">
        <f t="shared" si="7"/>
        <v>Client143</v>
      </c>
      <c r="E143" t="str">
        <f t="shared" si="8"/>
        <v>BOB143</v>
      </c>
      <c r="F143" t="s">
        <v>20</v>
      </c>
      <c r="G143" s="11" t="s">
        <v>21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x14ac:dyDescent="0.3">
      <c r="A144" s="10">
        <v>46027</v>
      </c>
      <c r="B144" t="s">
        <v>19</v>
      </c>
      <c r="C144" t="str">
        <f t="shared" si="6"/>
        <v>3798512613144</v>
      </c>
      <c r="D144" t="str">
        <f t="shared" si="7"/>
        <v>Client144</v>
      </c>
      <c r="E144" t="str">
        <f t="shared" si="8"/>
        <v>BOB144</v>
      </c>
      <c r="F144" t="s">
        <v>20</v>
      </c>
      <c r="G144" s="11" t="s">
        <v>21</v>
      </c>
      <c r="H144" s="11">
        <v>0</v>
      </c>
      <c r="I144" s="11">
        <v>0</v>
      </c>
      <c r="J144" s="11">
        <v>0</v>
      </c>
      <c r="K144" s="11">
        <v>2000000</v>
      </c>
      <c r="L144" s="11">
        <v>2262000</v>
      </c>
      <c r="M144" s="11">
        <v>6595000</v>
      </c>
      <c r="N144" s="11">
        <v>0</v>
      </c>
    </row>
    <row r="145" spans="1:14" x14ac:dyDescent="0.3">
      <c r="A145" s="10">
        <v>46027</v>
      </c>
      <c r="B145" t="s">
        <v>19</v>
      </c>
      <c r="C145" t="str">
        <f t="shared" si="6"/>
        <v>3798512613145</v>
      </c>
      <c r="D145" t="str">
        <f t="shared" si="7"/>
        <v>Client145</v>
      </c>
      <c r="E145" t="str">
        <f t="shared" si="8"/>
        <v>BOB145</v>
      </c>
      <c r="F145" t="s">
        <v>26</v>
      </c>
      <c r="G145" s="11" t="s">
        <v>59</v>
      </c>
      <c r="H145" s="11">
        <v>0</v>
      </c>
      <c r="I145" s="11">
        <v>0</v>
      </c>
      <c r="J145" s="11">
        <v>0</v>
      </c>
      <c r="K145" s="11">
        <v>0</v>
      </c>
      <c r="L145" s="11">
        <v>6771100</v>
      </c>
      <c r="M145" s="11">
        <v>8192000</v>
      </c>
      <c r="N145" s="11">
        <v>0</v>
      </c>
    </row>
    <row r="146" spans="1:14" x14ac:dyDescent="0.3">
      <c r="A146" s="10">
        <v>46027</v>
      </c>
      <c r="B146" t="s">
        <v>19</v>
      </c>
      <c r="C146" t="str">
        <f t="shared" si="6"/>
        <v>3798512613146</v>
      </c>
      <c r="D146" t="str">
        <f t="shared" si="7"/>
        <v>Client146</v>
      </c>
      <c r="E146" t="str">
        <f t="shared" si="8"/>
        <v>BOB146</v>
      </c>
      <c r="F146" t="s">
        <v>20</v>
      </c>
      <c r="G146" s="11" t="s">
        <v>21</v>
      </c>
      <c r="H146" s="11">
        <v>0</v>
      </c>
      <c r="I146" s="11">
        <v>0</v>
      </c>
      <c r="J146" s="11">
        <v>35265000</v>
      </c>
      <c r="K146" s="11">
        <v>0</v>
      </c>
      <c r="L146" s="11">
        <v>35491200</v>
      </c>
      <c r="M146" s="11">
        <v>25000</v>
      </c>
      <c r="N146" s="11">
        <v>0</v>
      </c>
    </row>
    <row r="147" spans="1:14" x14ac:dyDescent="0.3">
      <c r="A147" s="10">
        <v>46027</v>
      </c>
      <c r="B147" t="s">
        <v>19</v>
      </c>
      <c r="C147" t="str">
        <f t="shared" si="6"/>
        <v>3798512613147</v>
      </c>
      <c r="D147" t="str">
        <f t="shared" si="7"/>
        <v>Client147</v>
      </c>
      <c r="E147" t="str">
        <f t="shared" si="8"/>
        <v>BOB147</v>
      </c>
      <c r="F147" t="s">
        <v>20</v>
      </c>
      <c r="G147" s="11" t="s">
        <v>21</v>
      </c>
      <c r="H147" s="11">
        <v>0</v>
      </c>
      <c r="I147" s="11">
        <v>0</v>
      </c>
      <c r="J147" s="11">
        <v>0</v>
      </c>
      <c r="K147" s="11">
        <v>0</v>
      </c>
      <c r="L147" s="11">
        <v>3664500</v>
      </c>
      <c r="M147" s="11">
        <v>4343800</v>
      </c>
      <c r="N147" s="11">
        <v>0</v>
      </c>
    </row>
    <row r="148" spans="1:14" x14ac:dyDescent="0.3">
      <c r="A148" s="10">
        <v>46027</v>
      </c>
      <c r="B148" t="s">
        <v>19</v>
      </c>
      <c r="C148" t="str">
        <f t="shared" si="6"/>
        <v>3798512613148</v>
      </c>
      <c r="D148" t="str">
        <f t="shared" si="7"/>
        <v>Client148</v>
      </c>
      <c r="E148" t="str">
        <f t="shared" si="8"/>
        <v>BOB148</v>
      </c>
      <c r="F148" t="s">
        <v>20</v>
      </c>
      <c r="G148" s="11" t="s">
        <v>21</v>
      </c>
      <c r="H148" s="11">
        <v>0</v>
      </c>
      <c r="I148" s="11">
        <v>0</v>
      </c>
      <c r="J148" s="11">
        <v>0</v>
      </c>
      <c r="K148" s="11">
        <v>300000</v>
      </c>
      <c r="L148" s="11">
        <v>4460400</v>
      </c>
      <c r="M148" s="11">
        <v>5341800</v>
      </c>
      <c r="N148" s="11">
        <v>0</v>
      </c>
    </row>
    <row r="149" spans="1:14" x14ac:dyDescent="0.3">
      <c r="A149" s="10">
        <v>46027</v>
      </c>
      <c r="B149" t="s">
        <v>19</v>
      </c>
      <c r="C149" t="str">
        <f t="shared" si="6"/>
        <v>3798512613149</v>
      </c>
      <c r="D149" t="str">
        <f t="shared" si="7"/>
        <v>Client149</v>
      </c>
      <c r="E149" t="str">
        <f t="shared" si="8"/>
        <v>BOB149</v>
      </c>
      <c r="F149" t="s">
        <v>24</v>
      </c>
      <c r="G149" s="11" t="s">
        <v>21</v>
      </c>
      <c r="H149" s="11">
        <v>0</v>
      </c>
      <c r="I149" s="11">
        <v>0</v>
      </c>
      <c r="J149" s="11">
        <v>0</v>
      </c>
      <c r="K149" s="11">
        <v>3004500</v>
      </c>
      <c r="L149" s="11">
        <v>15737100</v>
      </c>
      <c r="M149" s="11">
        <v>19328700</v>
      </c>
      <c r="N149" s="11">
        <v>0</v>
      </c>
    </row>
    <row r="150" spans="1:14" x14ac:dyDescent="0.3">
      <c r="A150" s="10">
        <v>46027</v>
      </c>
      <c r="B150" t="s">
        <v>19</v>
      </c>
      <c r="C150" t="str">
        <f t="shared" si="6"/>
        <v>3798512613150</v>
      </c>
      <c r="D150" t="str">
        <f t="shared" si="7"/>
        <v>Client150</v>
      </c>
      <c r="E150" t="str">
        <f t="shared" si="8"/>
        <v>BOB150</v>
      </c>
      <c r="F150" t="s">
        <v>24</v>
      </c>
      <c r="G150" s="11" t="s">
        <v>21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5000</v>
      </c>
      <c r="N150" s="11">
        <v>0</v>
      </c>
    </row>
    <row r="151" spans="1:14" x14ac:dyDescent="0.3">
      <c r="A151" s="10">
        <v>46027</v>
      </c>
      <c r="B151" t="s">
        <v>19</v>
      </c>
      <c r="C151" t="str">
        <f t="shared" si="6"/>
        <v>3798512613151</v>
      </c>
      <c r="D151" t="str">
        <f t="shared" si="7"/>
        <v>Client151</v>
      </c>
      <c r="E151" t="str">
        <f t="shared" si="8"/>
        <v>BOB151</v>
      </c>
      <c r="F151" t="s">
        <v>22</v>
      </c>
      <c r="G151" s="11" t="s">
        <v>23</v>
      </c>
      <c r="H151" s="11">
        <v>0</v>
      </c>
      <c r="I151" s="11">
        <v>0</v>
      </c>
      <c r="J151" s="11">
        <v>2297700</v>
      </c>
      <c r="K151" s="11">
        <v>2402400</v>
      </c>
      <c r="L151" s="11">
        <v>30144500</v>
      </c>
      <c r="M151" s="11">
        <v>32402800</v>
      </c>
      <c r="N151" s="11">
        <v>0</v>
      </c>
    </row>
    <row r="152" spans="1:14" x14ac:dyDescent="0.3">
      <c r="A152" s="10">
        <v>46027</v>
      </c>
      <c r="B152" t="s">
        <v>19</v>
      </c>
      <c r="C152" t="str">
        <f t="shared" si="6"/>
        <v>3798512613152</v>
      </c>
      <c r="D152" t="str">
        <f t="shared" si="7"/>
        <v>Client152</v>
      </c>
      <c r="E152" t="str">
        <f t="shared" si="8"/>
        <v>BOB152</v>
      </c>
      <c r="F152" t="s">
        <v>25</v>
      </c>
      <c r="G152" s="11" t="s">
        <v>21</v>
      </c>
      <c r="H152" s="11">
        <v>0</v>
      </c>
      <c r="I152" s="11">
        <v>5700000</v>
      </c>
      <c r="J152" s="11">
        <v>0</v>
      </c>
      <c r="K152" s="11">
        <v>0</v>
      </c>
      <c r="L152" s="11">
        <v>6566100</v>
      </c>
      <c r="M152" s="11">
        <v>12005200</v>
      </c>
      <c r="N152" s="11">
        <v>0</v>
      </c>
    </row>
    <row r="153" spans="1:14" x14ac:dyDescent="0.3">
      <c r="A153" s="10">
        <v>46027</v>
      </c>
      <c r="B153" t="s">
        <v>19</v>
      </c>
      <c r="C153" t="str">
        <f t="shared" si="6"/>
        <v>3798512613153</v>
      </c>
      <c r="D153" t="str">
        <f t="shared" si="7"/>
        <v>Client153</v>
      </c>
      <c r="E153" t="str">
        <f t="shared" si="8"/>
        <v>BOB153</v>
      </c>
      <c r="F153" t="s">
        <v>24</v>
      </c>
      <c r="G153" s="11" t="s">
        <v>45</v>
      </c>
      <c r="H153" s="11">
        <v>0</v>
      </c>
      <c r="I153" s="11">
        <v>0</v>
      </c>
      <c r="J153" s="11">
        <v>0</v>
      </c>
      <c r="K153" s="11">
        <v>2200000</v>
      </c>
      <c r="L153" s="11">
        <v>5934500</v>
      </c>
      <c r="M153" s="11">
        <v>7693100</v>
      </c>
      <c r="N153" s="11">
        <v>0</v>
      </c>
    </row>
    <row r="154" spans="1:14" x14ac:dyDescent="0.3">
      <c r="A154" s="10">
        <v>46027</v>
      </c>
      <c r="B154" t="s">
        <v>19</v>
      </c>
      <c r="C154" t="str">
        <f t="shared" si="6"/>
        <v>3798512613154</v>
      </c>
      <c r="D154" t="str">
        <f t="shared" si="7"/>
        <v>Client154</v>
      </c>
      <c r="E154" t="str">
        <f t="shared" si="8"/>
        <v>BOB154</v>
      </c>
      <c r="F154" t="s">
        <v>22</v>
      </c>
      <c r="G154" s="11" t="s">
        <v>23</v>
      </c>
      <c r="H154" s="11">
        <v>0</v>
      </c>
      <c r="I154" s="11">
        <v>0</v>
      </c>
      <c r="J154" s="11">
        <v>0</v>
      </c>
      <c r="K154" s="11">
        <v>2202200</v>
      </c>
      <c r="L154" s="11">
        <v>2644600</v>
      </c>
      <c r="M154" s="11">
        <v>4981700</v>
      </c>
      <c r="N154" s="11">
        <v>0</v>
      </c>
    </row>
    <row r="155" spans="1:14" x14ac:dyDescent="0.3">
      <c r="A155" s="10">
        <v>46027</v>
      </c>
      <c r="B155" t="s">
        <v>19</v>
      </c>
      <c r="C155" t="str">
        <f t="shared" si="6"/>
        <v>3798512613155</v>
      </c>
      <c r="D155" t="str">
        <f t="shared" si="7"/>
        <v>Client155</v>
      </c>
      <c r="E155" t="str">
        <f t="shared" si="8"/>
        <v>BOB155</v>
      </c>
      <c r="F155" t="s">
        <v>54</v>
      </c>
      <c r="G155" s="11" t="s">
        <v>60</v>
      </c>
      <c r="H155" s="11">
        <v>0</v>
      </c>
      <c r="I155" s="11">
        <v>0</v>
      </c>
      <c r="J155" s="11">
        <v>0</v>
      </c>
      <c r="K155" s="11">
        <v>0</v>
      </c>
      <c r="L155" s="11">
        <v>24451100</v>
      </c>
      <c r="M155" s="11">
        <v>17163800</v>
      </c>
      <c r="N155" s="11">
        <v>0</v>
      </c>
    </row>
    <row r="156" spans="1:14" x14ac:dyDescent="0.3">
      <c r="A156" s="10">
        <v>46027</v>
      </c>
      <c r="B156" t="s">
        <v>19</v>
      </c>
      <c r="C156" t="str">
        <f t="shared" si="6"/>
        <v>3798512613156</v>
      </c>
      <c r="D156" t="str">
        <f t="shared" si="7"/>
        <v>Client156</v>
      </c>
      <c r="E156" t="str">
        <f t="shared" si="8"/>
        <v>BOB156</v>
      </c>
      <c r="F156" t="s">
        <v>26</v>
      </c>
      <c r="G156" s="11" t="s">
        <v>21</v>
      </c>
      <c r="H156" s="11">
        <v>0</v>
      </c>
      <c r="I156" s="11">
        <v>9131000</v>
      </c>
      <c r="J156" s="11">
        <v>11000000</v>
      </c>
      <c r="K156" s="11">
        <v>7984700</v>
      </c>
      <c r="L156" s="11">
        <v>11418900</v>
      </c>
      <c r="M156" s="11">
        <v>15800500</v>
      </c>
      <c r="N156" s="11">
        <v>0</v>
      </c>
    </row>
    <row r="157" spans="1:14" x14ac:dyDescent="0.3">
      <c r="A157" s="10">
        <v>46027</v>
      </c>
      <c r="B157" t="s">
        <v>19</v>
      </c>
      <c r="C157" t="str">
        <f t="shared" si="6"/>
        <v>3798512613157</v>
      </c>
      <c r="D157" t="str">
        <f t="shared" si="7"/>
        <v>Client157</v>
      </c>
      <c r="E157" t="str">
        <f t="shared" si="8"/>
        <v>BOB157</v>
      </c>
      <c r="F157" t="s">
        <v>20</v>
      </c>
      <c r="G157" s="11" t="s">
        <v>21</v>
      </c>
      <c r="H157" s="11">
        <v>0</v>
      </c>
      <c r="I157" s="11">
        <v>0</v>
      </c>
      <c r="J157" s="11">
        <v>0</v>
      </c>
      <c r="K157" s="11">
        <v>0</v>
      </c>
      <c r="L157" s="11">
        <v>6611400</v>
      </c>
      <c r="M157" s="11">
        <v>4860100</v>
      </c>
      <c r="N157" s="11">
        <v>0</v>
      </c>
    </row>
    <row r="158" spans="1:14" x14ac:dyDescent="0.3">
      <c r="A158" s="10">
        <v>46027</v>
      </c>
      <c r="B158" t="s">
        <v>19</v>
      </c>
      <c r="C158" t="str">
        <f t="shared" si="6"/>
        <v>3798512613158</v>
      </c>
      <c r="D158" t="str">
        <f t="shared" si="7"/>
        <v>Client158</v>
      </c>
      <c r="E158" t="str">
        <f t="shared" si="8"/>
        <v>BOB158</v>
      </c>
      <c r="F158" t="s">
        <v>24</v>
      </c>
      <c r="G158" s="11" t="s">
        <v>21</v>
      </c>
      <c r="H158" s="11">
        <v>16000000</v>
      </c>
      <c r="I158" s="11">
        <v>0</v>
      </c>
      <c r="J158" s="11">
        <v>13200000</v>
      </c>
      <c r="K158" s="11">
        <v>0</v>
      </c>
      <c r="L158" s="11">
        <v>29213000</v>
      </c>
      <c r="M158" s="11">
        <v>0</v>
      </c>
      <c r="N158" s="11">
        <v>0</v>
      </c>
    </row>
    <row r="159" spans="1:14" x14ac:dyDescent="0.3">
      <c r="A159" s="10">
        <v>46027</v>
      </c>
      <c r="B159" t="s">
        <v>19</v>
      </c>
      <c r="C159" t="str">
        <f t="shared" si="6"/>
        <v>3798512613159</v>
      </c>
      <c r="D159" t="str">
        <f t="shared" si="7"/>
        <v>Client159</v>
      </c>
      <c r="E159" t="str">
        <f t="shared" si="8"/>
        <v>BOB159</v>
      </c>
      <c r="F159" t="s">
        <v>22</v>
      </c>
      <c r="G159" s="11" t="s">
        <v>23</v>
      </c>
      <c r="H159" s="11">
        <v>0</v>
      </c>
      <c r="I159" s="11">
        <v>0</v>
      </c>
      <c r="J159" s="11">
        <v>0</v>
      </c>
      <c r="K159" s="11">
        <v>0</v>
      </c>
      <c r="L159" s="11">
        <v>4586200</v>
      </c>
      <c r="M159" s="11">
        <v>4588000</v>
      </c>
      <c r="N159" s="11">
        <v>0</v>
      </c>
    </row>
    <row r="160" spans="1:14" x14ac:dyDescent="0.3">
      <c r="A160" s="10">
        <v>46027</v>
      </c>
      <c r="B160" t="s">
        <v>19</v>
      </c>
      <c r="C160" t="str">
        <f t="shared" si="6"/>
        <v>3798512613160</v>
      </c>
      <c r="D160" t="str">
        <f t="shared" si="7"/>
        <v>Client160</v>
      </c>
      <c r="E160" t="str">
        <f t="shared" si="8"/>
        <v>BOB160</v>
      </c>
      <c r="F160" t="s">
        <v>25</v>
      </c>
      <c r="G160" s="11" t="s">
        <v>21</v>
      </c>
      <c r="H160" s="11">
        <v>0</v>
      </c>
      <c r="I160" s="11">
        <v>1910000</v>
      </c>
      <c r="J160" s="11">
        <v>0</v>
      </c>
      <c r="K160" s="11">
        <v>0</v>
      </c>
      <c r="L160" s="11">
        <v>8938500</v>
      </c>
      <c r="M160" s="11">
        <v>10820600</v>
      </c>
      <c r="N160" s="11">
        <v>0</v>
      </c>
    </row>
    <row r="161" spans="1:14" x14ac:dyDescent="0.3">
      <c r="A161" s="10">
        <v>46027</v>
      </c>
      <c r="B161" t="s">
        <v>19</v>
      </c>
      <c r="C161" t="str">
        <f t="shared" si="6"/>
        <v>3798512613161</v>
      </c>
      <c r="D161" t="str">
        <f t="shared" si="7"/>
        <v>Client161</v>
      </c>
      <c r="E161" t="str">
        <f t="shared" si="8"/>
        <v>BOB161</v>
      </c>
      <c r="F161" t="s">
        <v>25</v>
      </c>
      <c r="G161" s="11" t="s">
        <v>21</v>
      </c>
      <c r="H161" s="11">
        <v>0</v>
      </c>
      <c r="I161" s="11">
        <v>0</v>
      </c>
      <c r="J161" s="11">
        <v>6655000</v>
      </c>
      <c r="K161" s="11">
        <v>448000</v>
      </c>
      <c r="L161" s="11">
        <v>14217900</v>
      </c>
      <c r="M161" s="11">
        <v>8001900</v>
      </c>
      <c r="N161" s="11">
        <v>0</v>
      </c>
    </row>
    <row r="162" spans="1:14" x14ac:dyDescent="0.3">
      <c r="A162" s="10">
        <v>46027</v>
      </c>
      <c r="B162" t="s">
        <v>19</v>
      </c>
      <c r="C162" t="str">
        <f t="shared" si="6"/>
        <v>3798512613162</v>
      </c>
      <c r="D162" t="str">
        <f t="shared" si="7"/>
        <v>Client162</v>
      </c>
      <c r="E162" t="str">
        <f t="shared" si="8"/>
        <v>BOB162</v>
      </c>
      <c r="F162" t="s">
        <v>25</v>
      </c>
      <c r="G162" s="11" t="s">
        <v>21</v>
      </c>
      <c r="H162" s="11">
        <v>0</v>
      </c>
      <c r="I162" s="11">
        <v>4006000</v>
      </c>
      <c r="J162" s="11">
        <v>0</v>
      </c>
      <c r="K162" s="11">
        <v>0</v>
      </c>
      <c r="L162" s="11">
        <v>41297700</v>
      </c>
      <c r="M162" s="11">
        <v>43471500</v>
      </c>
      <c r="N162" s="11">
        <v>0</v>
      </c>
    </row>
    <row r="163" spans="1:14" x14ac:dyDescent="0.3">
      <c r="A163" s="10">
        <v>46027</v>
      </c>
      <c r="B163" t="s">
        <v>19</v>
      </c>
      <c r="C163" t="str">
        <f t="shared" si="6"/>
        <v>3798512613163</v>
      </c>
      <c r="D163" t="str">
        <f t="shared" si="7"/>
        <v>Client163</v>
      </c>
      <c r="E163" t="str">
        <f t="shared" si="8"/>
        <v>BOB163</v>
      </c>
      <c r="F163" t="s">
        <v>20</v>
      </c>
      <c r="G163" s="11" t="s">
        <v>21</v>
      </c>
      <c r="H163" s="11">
        <v>0</v>
      </c>
      <c r="I163" s="11">
        <v>0</v>
      </c>
      <c r="J163" s="11">
        <v>0</v>
      </c>
      <c r="K163" s="11">
        <v>0</v>
      </c>
      <c r="L163" s="11">
        <v>9849700</v>
      </c>
      <c r="M163" s="11">
        <v>8991500</v>
      </c>
      <c r="N163" s="11">
        <v>0</v>
      </c>
    </row>
    <row r="164" spans="1:14" x14ac:dyDescent="0.3">
      <c r="A164" s="10">
        <v>46027</v>
      </c>
      <c r="B164" t="s">
        <v>19</v>
      </c>
      <c r="C164" t="str">
        <f t="shared" si="6"/>
        <v>3798512613164</v>
      </c>
      <c r="D164" t="str">
        <f t="shared" si="7"/>
        <v>Client164</v>
      </c>
      <c r="E164" t="str">
        <f t="shared" si="8"/>
        <v>BOB164</v>
      </c>
      <c r="F164" t="s">
        <v>25</v>
      </c>
      <c r="G164" s="11" t="s">
        <v>21</v>
      </c>
      <c r="H164" s="11">
        <v>0</v>
      </c>
      <c r="I164" s="11">
        <v>0</v>
      </c>
      <c r="J164" s="11">
        <v>0</v>
      </c>
      <c r="K164" s="11">
        <v>0</v>
      </c>
      <c r="L164" s="11">
        <v>18075300</v>
      </c>
      <c r="M164" s="11">
        <v>22733400</v>
      </c>
      <c r="N164" s="11">
        <v>0</v>
      </c>
    </row>
    <row r="165" spans="1:14" x14ac:dyDescent="0.3">
      <c r="A165" s="10">
        <v>46027</v>
      </c>
      <c r="B165" t="s">
        <v>19</v>
      </c>
      <c r="C165" t="str">
        <f t="shared" si="6"/>
        <v>3798512613165</v>
      </c>
      <c r="D165" t="str">
        <f t="shared" si="7"/>
        <v>Client165</v>
      </c>
      <c r="E165" t="str">
        <f t="shared" si="8"/>
        <v>BOB165</v>
      </c>
      <c r="F165" t="s">
        <v>25</v>
      </c>
      <c r="G165" s="11" t="s">
        <v>21</v>
      </c>
      <c r="H165" s="11">
        <v>0</v>
      </c>
      <c r="I165" s="11">
        <v>0</v>
      </c>
      <c r="J165" s="11">
        <v>7300000</v>
      </c>
      <c r="K165" s="11">
        <v>0</v>
      </c>
      <c r="L165" s="11">
        <v>29564600</v>
      </c>
      <c r="M165" s="11">
        <v>22608500</v>
      </c>
      <c r="N165" s="11">
        <v>0</v>
      </c>
    </row>
    <row r="166" spans="1:14" x14ac:dyDescent="0.3">
      <c r="A166" s="10">
        <v>46027</v>
      </c>
      <c r="B166" t="s">
        <v>19</v>
      </c>
      <c r="C166" t="str">
        <f t="shared" si="6"/>
        <v>3798512613166</v>
      </c>
      <c r="D166" t="str">
        <f t="shared" si="7"/>
        <v>Client166</v>
      </c>
      <c r="E166" t="str">
        <f t="shared" si="8"/>
        <v>BOB166</v>
      </c>
      <c r="F166" t="s">
        <v>26</v>
      </c>
      <c r="G166" s="11" t="s">
        <v>47</v>
      </c>
      <c r="H166" s="11">
        <v>0</v>
      </c>
      <c r="I166" s="11">
        <v>0</v>
      </c>
      <c r="J166" s="11">
        <v>0</v>
      </c>
      <c r="K166" s="11">
        <v>603000</v>
      </c>
      <c r="L166" s="11">
        <v>350000</v>
      </c>
      <c r="M166" s="11">
        <v>553000</v>
      </c>
      <c r="N166" s="11">
        <v>0</v>
      </c>
    </row>
    <row r="167" spans="1:14" x14ac:dyDescent="0.3">
      <c r="A167" s="10">
        <v>46027</v>
      </c>
      <c r="B167" t="s">
        <v>19</v>
      </c>
      <c r="C167" t="str">
        <f t="shared" si="6"/>
        <v>3798512613167</v>
      </c>
      <c r="D167" t="str">
        <f t="shared" si="7"/>
        <v>Client167</v>
      </c>
      <c r="E167" t="str">
        <f t="shared" si="8"/>
        <v>BOB167</v>
      </c>
      <c r="F167" t="s">
        <v>25</v>
      </c>
      <c r="G167" s="11" t="s">
        <v>21</v>
      </c>
      <c r="H167" s="11">
        <v>0</v>
      </c>
      <c r="I167" s="11">
        <v>0</v>
      </c>
      <c r="J167" s="11">
        <v>7000000</v>
      </c>
      <c r="K167" s="11">
        <v>0</v>
      </c>
      <c r="L167" s="11">
        <v>44764000</v>
      </c>
      <c r="M167" s="11">
        <v>31128700</v>
      </c>
      <c r="N167" s="11">
        <v>0</v>
      </c>
    </row>
    <row r="168" spans="1:14" x14ac:dyDescent="0.3">
      <c r="A168" s="10">
        <v>46027</v>
      </c>
      <c r="B168" t="s">
        <v>19</v>
      </c>
      <c r="C168" t="str">
        <f t="shared" si="6"/>
        <v>3798512613168</v>
      </c>
      <c r="D168" t="str">
        <f t="shared" si="7"/>
        <v>Client168</v>
      </c>
      <c r="E168" t="str">
        <f t="shared" si="8"/>
        <v>BOB168</v>
      </c>
      <c r="F168" t="s">
        <v>20</v>
      </c>
      <c r="G168" s="11" t="s">
        <v>21</v>
      </c>
      <c r="H168" s="11">
        <v>0</v>
      </c>
      <c r="I168" s="11">
        <v>0</v>
      </c>
      <c r="J168" s="11">
        <v>0</v>
      </c>
      <c r="K168" s="11">
        <v>2290000</v>
      </c>
      <c r="L168" s="11">
        <v>7603600</v>
      </c>
      <c r="M168" s="11">
        <v>9834900</v>
      </c>
      <c r="N168" s="11">
        <v>0</v>
      </c>
    </row>
    <row r="169" spans="1:14" x14ac:dyDescent="0.3">
      <c r="A169" s="10">
        <v>46027</v>
      </c>
      <c r="B169" t="s">
        <v>19</v>
      </c>
      <c r="C169" t="str">
        <f t="shared" si="6"/>
        <v>3798512613169</v>
      </c>
      <c r="D169" t="str">
        <f t="shared" si="7"/>
        <v>Client169</v>
      </c>
      <c r="E169" t="str">
        <f t="shared" si="8"/>
        <v>BOB169</v>
      </c>
      <c r="F169" t="s">
        <v>25</v>
      </c>
      <c r="G169" s="11" t="s">
        <v>21</v>
      </c>
      <c r="H169" s="11">
        <v>0</v>
      </c>
      <c r="I169" s="11">
        <v>5000000</v>
      </c>
      <c r="J169" s="11">
        <v>0</v>
      </c>
      <c r="K169" s="11">
        <v>492000</v>
      </c>
      <c r="L169" s="11">
        <v>39517900</v>
      </c>
      <c r="M169" s="11">
        <v>46517600</v>
      </c>
      <c r="N169" s="11">
        <v>0</v>
      </c>
    </row>
    <row r="170" spans="1:14" x14ac:dyDescent="0.3">
      <c r="A170" s="10">
        <v>46027</v>
      </c>
      <c r="B170" t="s">
        <v>19</v>
      </c>
      <c r="C170" t="str">
        <f t="shared" si="6"/>
        <v>3798512613170</v>
      </c>
      <c r="D170" t="str">
        <f t="shared" si="7"/>
        <v>Client170</v>
      </c>
      <c r="E170" t="str">
        <f t="shared" si="8"/>
        <v>BOB170</v>
      </c>
      <c r="F170" t="s">
        <v>61</v>
      </c>
      <c r="G170" s="11" t="s">
        <v>62</v>
      </c>
      <c r="H170" s="11">
        <v>0</v>
      </c>
      <c r="I170" s="11">
        <v>0</v>
      </c>
      <c r="J170" s="11">
        <v>0</v>
      </c>
      <c r="K170" s="11">
        <v>0</v>
      </c>
      <c r="L170" s="11">
        <v>7020100</v>
      </c>
      <c r="M170" s="11">
        <v>4205200</v>
      </c>
      <c r="N170" s="11">
        <v>0</v>
      </c>
    </row>
    <row r="171" spans="1:14" x14ac:dyDescent="0.3">
      <c r="A171" s="10">
        <v>46027</v>
      </c>
      <c r="B171" t="s">
        <v>19</v>
      </c>
      <c r="C171" t="str">
        <f t="shared" si="6"/>
        <v>3798512613171</v>
      </c>
      <c r="D171" t="str">
        <f t="shared" si="7"/>
        <v>Client171</v>
      </c>
      <c r="E171" t="str">
        <f t="shared" si="8"/>
        <v>BOB171</v>
      </c>
      <c r="F171" t="s">
        <v>25</v>
      </c>
      <c r="G171" s="11" t="s">
        <v>21</v>
      </c>
      <c r="H171" s="11">
        <v>0</v>
      </c>
      <c r="I171" s="11">
        <v>1000000</v>
      </c>
      <c r="J171" s="11">
        <v>0</v>
      </c>
      <c r="K171" s="11">
        <v>0</v>
      </c>
      <c r="L171" s="11">
        <v>25625300</v>
      </c>
      <c r="M171" s="11">
        <v>23931600</v>
      </c>
      <c r="N171" s="11">
        <v>0</v>
      </c>
    </row>
    <row r="172" spans="1:14" x14ac:dyDescent="0.3">
      <c r="A172" s="10">
        <v>46027</v>
      </c>
      <c r="B172" t="s">
        <v>19</v>
      </c>
      <c r="C172" t="str">
        <f t="shared" si="6"/>
        <v>3798512613172</v>
      </c>
      <c r="D172" t="str">
        <f t="shared" si="7"/>
        <v>Client172</v>
      </c>
      <c r="E172" t="str">
        <f t="shared" si="8"/>
        <v>BOB172</v>
      </c>
      <c r="F172" t="s">
        <v>25</v>
      </c>
      <c r="G172" s="11" t="s">
        <v>21</v>
      </c>
      <c r="H172" s="11">
        <v>0</v>
      </c>
      <c r="I172" s="11">
        <v>9306600</v>
      </c>
      <c r="J172" s="11">
        <v>0</v>
      </c>
      <c r="K172" s="11">
        <v>0</v>
      </c>
      <c r="L172" s="11">
        <v>21637400</v>
      </c>
      <c r="M172" s="11">
        <v>29136500</v>
      </c>
      <c r="N172" s="11">
        <v>0</v>
      </c>
    </row>
    <row r="173" spans="1:14" x14ac:dyDescent="0.3">
      <c r="A173" s="10">
        <v>46027</v>
      </c>
      <c r="B173" t="s">
        <v>19</v>
      </c>
      <c r="C173" t="str">
        <f t="shared" si="6"/>
        <v>3798512613173</v>
      </c>
      <c r="D173" t="str">
        <f t="shared" si="7"/>
        <v>Client173</v>
      </c>
      <c r="E173" t="str">
        <f t="shared" si="8"/>
        <v>BOB173</v>
      </c>
      <c r="F173" t="s">
        <v>25</v>
      </c>
      <c r="G173" s="11" t="s">
        <v>21</v>
      </c>
      <c r="H173" s="11">
        <v>0</v>
      </c>
      <c r="I173" s="11">
        <v>0</v>
      </c>
      <c r="J173" s="11">
        <v>0</v>
      </c>
      <c r="K173" s="11">
        <v>0</v>
      </c>
      <c r="L173" s="11">
        <v>24768200</v>
      </c>
      <c r="M173" s="11">
        <v>23896100</v>
      </c>
      <c r="N173" s="11">
        <v>0</v>
      </c>
    </row>
    <row r="174" spans="1:14" x14ac:dyDescent="0.3">
      <c r="A174" s="10">
        <v>46027</v>
      </c>
      <c r="B174" t="s">
        <v>19</v>
      </c>
      <c r="C174" t="str">
        <f t="shared" si="6"/>
        <v>3798512613174</v>
      </c>
      <c r="D174" t="str">
        <f t="shared" si="7"/>
        <v>Client174</v>
      </c>
      <c r="E174" t="str">
        <f t="shared" si="8"/>
        <v>BOB174</v>
      </c>
      <c r="F174" t="s">
        <v>24</v>
      </c>
      <c r="G174" s="11" t="s">
        <v>21</v>
      </c>
      <c r="H174" s="11">
        <v>0</v>
      </c>
      <c r="I174" s="11">
        <v>0</v>
      </c>
      <c r="J174" s="11">
        <v>0</v>
      </c>
      <c r="K174" s="11">
        <v>5500000</v>
      </c>
      <c r="L174" s="11">
        <v>13908700</v>
      </c>
      <c r="M174" s="11">
        <v>12914200</v>
      </c>
      <c r="N174" s="11">
        <v>0</v>
      </c>
    </row>
    <row r="175" spans="1:14" x14ac:dyDescent="0.3">
      <c r="A175" s="10">
        <v>46027</v>
      </c>
      <c r="B175" t="s">
        <v>19</v>
      </c>
      <c r="C175" t="str">
        <f t="shared" si="6"/>
        <v>3798512613175</v>
      </c>
      <c r="D175" t="str">
        <f t="shared" si="7"/>
        <v>Client175</v>
      </c>
      <c r="E175" t="str">
        <f t="shared" si="8"/>
        <v>BOB175</v>
      </c>
      <c r="F175" t="s">
        <v>20</v>
      </c>
      <c r="G175" s="11" t="s">
        <v>21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x14ac:dyDescent="0.3">
      <c r="A176" s="10">
        <v>46027</v>
      </c>
      <c r="B176" t="s">
        <v>19</v>
      </c>
      <c r="C176" t="str">
        <f t="shared" si="6"/>
        <v>3798512613176</v>
      </c>
      <c r="D176" t="str">
        <f t="shared" si="7"/>
        <v>Client176</v>
      </c>
      <c r="E176" t="str">
        <f t="shared" si="8"/>
        <v>BOB176</v>
      </c>
      <c r="F176" t="s">
        <v>24</v>
      </c>
      <c r="G176" s="11" t="s">
        <v>21</v>
      </c>
      <c r="H176" s="11">
        <v>0</v>
      </c>
      <c r="I176" s="11">
        <v>0</v>
      </c>
      <c r="J176" s="11">
        <v>0</v>
      </c>
      <c r="K176" s="11">
        <v>2003000</v>
      </c>
      <c r="L176" s="11">
        <v>2767300</v>
      </c>
      <c r="M176" s="11">
        <v>5561200</v>
      </c>
      <c r="N176" s="11">
        <v>0</v>
      </c>
    </row>
    <row r="177" spans="1:14" x14ac:dyDescent="0.3">
      <c r="A177" s="10">
        <v>46027</v>
      </c>
      <c r="B177" t="s">
        <v>19</v>
      </c>
      <c r="C177" t="str">
        <f t="shared" si="6"/>
        <v>3798512613177</v>
      </c>
      <c r="D177" t="str">
        <f t="shared" si="7"/>
        <v>Client177</v>
      </c>
      <c r="E177" t="str">
        <f t="shared" si="8"/>
        <v>BOB177</v>
      </c>
      <c r="F177" t="s">
        <v>42</v>
      </c>
      <c r="G177" s="11" t="s">
        <v>21</v>
      </c>
      <c r="H177" s="11">
        <v>0</v>
      </c>
      <c r="I177" s="11">
        <v>0</v>
      </c>
      <c r="J177" s="11">
        <v>0</v>
      </c>
      <c r="K177" s="11">
        <v>4001500</v>
      </c>
      <c r="L177" s="11">
        <v>11000</v>
      </c>
      <c r="M177" s="11">
        <v>347200</v>
      </c>
      <c r="N177" s="11">
        <v>0</v>
      </c>
    </row>
    <row r="178" spans="1:14" x14ac:dyDescent="0.3">
      <c r="A178" s="10">
        <v>46027</v>
      </c>
      <c r="B178" t="s">
        <v>19</v>
      </c>
      <c r="C178" t="str">
        <f t="shared" si="6"/>
        <v>3798512613178</v>
      </c>
      <c r="D178" t="str">
        <f t="shared" si="7"/>
        <v>Client178</v>
      </c>
      <c r="E178" t="str">
        <f t="shared" si="8"/>
        <v>BOB178</v>
      </c>
      <c r="F178" t="s">
        <v>25</v>
      </c>
      <c r="G178" s="11" t="s">
        <v>21</v>
      </c>
      <c r="H178" s="11">
        <v>0</v>
      </c>
      <c r="I178" s="11">
        <v>3984000</v>
      </c>
      <c r="J178" s="11">
        <v>84520700</v>
      </c>
      <c r="K178" s="11">
        <v>0</v>
      </c>
      <c r="L178" s="11">
        <v>80645000</v>
      </c>
      <c r="M178" s="11">
        <v>0</v>
      </c>
      <c r="N178" s="11">
        <v>0</v>
      </c>
    </row>
    <row r="179" spans="1:14" x14ac:dyDescent="0.3">
      <c r="A179" s="10">
        <v>46027</v>
      </c>
      <c r="B179" t="s">
        <v>19</v>
      </c>
      <c r="C179" t="str">
        <f t="shared" si="6"/>
        <v>3798512613179</v>
      </c>
      <c r="D179" t="str">
        <f t="shared" si="7"/>
        <v>Client179</v>
      </c>
      <c r="E179" t="str">
        <f t="shared" si="8"/>
        <v>BOB179</v>
      </c>
      <c r="F179" t="s">
        <v>20</v>
      </c>
      <c r="G179" s="11" t="s">
        <v>21</v>
      </c>
      <c r="H179" s="11">
        <v>0</v>
      </c>
      <c r="I179" s="11">
        <v>0</v>
      </c>
      <c r="J179" s="11">
        <v>5000000</v>
      </c>
      <c r="K179" s="11">
        <v>2500000</v>
      </c>
      <c r="L179" s="11">
        <v>9352100</v>
      </c>
      <c r="M179" s="11">
        <v>8709500</v>
      </c>
      <c r="N179" s="11">
        <v>0</v>
      </c>
    </row>
    <row r="180" spans="1:14" x14ac:dyDescent="0.3">
      <c r="A180" s="10">
        <v>46027</v>
      </c>
      <c r="B180" t="s">
        <v>19</v>
      </c>
      <c r="C180" t="str">
        <f t="shared" si="6"/>
        <v>3798512613180</v>
      </c>
      <c r="D180" t="str">
        <f t="shared" si="7"/>
        <v>Client180</v>
      </c>
      <c r="E180" t="str">
        <f t="shared" si="8"/>
        <v>BOB180</v>
      </c>
      <c r="F180" t="s">
        <v>20</v>
      </c>
      <c r="G180" s="11" t="s">
        <v>21</v>
      </c>
      <c r="H180" s="11">
        <v>0</v>
      </c>
      <c r="I180" s="11">
        <v>2500000</v>
      </c>
      <c r="J180" s="11">
        <v>0</v>
      </c>
      <c r="K180" s="11">
        <v>850000</v>
      </c>
      <c r="L180" s="11">
        <v>16252900</v>
      </c>
      <c r="M180" s="11">
        <v>23280000</v>
      </c>
      <c r="N180" s="11">
        <v>0</v>
      </c>
    </row>
    <row r="181" spans="1:14" x14ac:dyDescent="0.3">
      <c r="A181" s="10">
        <v>46027</v>
      </c>
      <c r="B181" t="s">
        <v>19</v>
      </c>
      <c r="C181" t="str">
        <f t="shared" si="6"/>
        <v>3798512613181</v>
      </c>
      <c r="D181" t="str">
        <f t="shared" si="7"/>
        <v>Client181</v>
      </c>
      <c r="E181" t="str">
        <f t="shared" si="8"/>
        <v>BOB181</v>
      </c>
      <c r="F181" t="s">
        <v>22</v>
      </c>
      <c r="G181" s="11" t="s">
        <v>23</v>
      </c>
      <c r="H181" s="11">
        <v>0</v>
      </c>
      <c r="I181" s="11">
        <v>0</v>
      </c>
      <c r="J181" s="11">
        <v>0</v>
      </c>
      <c r="K181" s="11">
        <v>500500</v>
      </c>
      <c r="L181" s="11">
        <v>1921100</v>
      </c>
      <c r="M181" s="11">
        <v>2306500</v>
      </c>
      <c r="N181" s="11">
        <v>0</v>
      </c>
    </row>
    <row r="182" spans="1:14" x14ac:dyDescent="0.3">
      <c r="A182" s="10">
        <v>46027</v>
      </c>
      <c r="B182" t="s">
        <v>19</v>
      </c>
      <c r="C182" t="str">
        <f t="shared" si="6"/>
        <v>3798512613182</v>
      </c>
      <c r="D182" t="str">
        <f t="shared" si="7"/>
        <v>Client182</v>
      </c>
      <c r="E182" t="str">
        <f t="shared" si="8"/>
        <v>BOB182</v>
      </c>
      <c r="F182" t="s">
        <v>25</v>
      </c>
      <c r="G182" s="11" t="s">
        <v>21</v>
      </c>
      <c r="H182" s="11">
        <v>0</v>
      </c>
      <c r="I182" s="11">
        <v>2003000</v>
      </c>
      <c r="J182" s="11">
        <v>0</v>
      </c>
      <c r="K182" s="11">
        <v>2000000</v>
      </c>
      <c r="L182" s="11">
        <v>15783200</v>
      </c>
      <c r="M182" s="11">
        <v>19277700</v>
      </c>
      <c r="N182" s="11">
        <v>0</v>
      </c>
    </row>
    <row r="183" spans="1:14" x14ac:dyDescent="0.3">
      <c r="A183" s="10">
        <v>46027</v>
      </c>
      <c r="B183" t="s">
        <v>19</v>
      </c>
      <c r="C183" t="str">
        <f t="shared" si="6"/>
        <v>3798512613183</v>
      </c>
      <c r="D183" t="str">
        <f t="shared" si="7"/>
        <v>Client183</v>
      </c>
      <c r="E183" t="str">
        <f t="shared" si="8"/>
        <v>BOB183</v>
      </c>
      <c r="F183" t="s">
        <v>25</v>
      </c>
      <c r="G183" s="11" t="s">
        <v>21</v>
      </c>
      <c r="H183" s="11">
        <v>0</v>
      </c>
      <c r="I183" s="11">
        <v>0</v>
      </c>
      <c r="J183" s="11">
        <v>0</v>
      </c>
      <c r="K183" s="11">
        <v>0</v>
      </c>
      <c r="L183" s="11">
        <v>7885600</v>
      </c>
      <c r="M183" s="11">
        <v>13318800</v>
      </c>
      <c r="N183" s="11">
        <v>0</v>
      </c>
    </row>
    <row r="184" spans="1:14" x14ac:dyDescent="0.3">
      <c r="A184" s="10">
        <v>46027</v>
      </c>
      <c r="B184" t="s">
        <v>19</v>
      </c>
      <c r="C184" t="str">
        <f t="shared" si="6"/>
        <v>3798512613184</v>
      </c>
      <c r="D184" t="str">
        <f t="shared" si="7"/>
        <v>Client184</v>
      </c>
      <c r="E184" t="str">
        <f t="shared" si="8"/>
        <v>BOB184</v>
      </c>
      <c r="F184" t="s">
        <v>20</v>
      </c>
      <c r="G184" s="11" t="s">
        <v>21</v>
      </c>
      <c r="H184" s="11">
        <v>0</v>
      </c>
      <c r="I184" s="11">
        <v>8114000</v>
      </c>
      <c r="J184" s="11">
        <v>0</v>
      </c>
      <c r="K184" s="11">
        <v>0</v>
      </c>
      <c r="L184" s="11">
        <v>10028300</v>
      </c>
      <c r="M184" s="11">
        <v>12854800</v>
      </c>
      <c r="N184" s="11">
        <v>0</v>
      </c>
    </row>
    <row r="185" spans="1:14" x14ac:dyDescent="0.3">
      <c r="A185" s="10">
        <v>46027</v>
      </c>
      <c r="B185" t="s">
        <v>19</v>
      </c>
      <c r="C185" t="str">
        <f t="shared" si="6"/>
        <v>3798512613185</v>
      </c>
      <c r="D185" t="str">
        <f t="shared" si="7"/>
        <v>Client185</v>
      </c>
      <c r="E185" t="str">
        <f t="shared" si="8"/>
        <v>BOB185</v>
      </c>
      <c r="F185" t="s">
        <v>20</v>
      </c>
      <c r="G185" s="11" t="s">
        <v>21</v>
      </c>
      <c r="H185" s="11">
        <v>0</v>
      </c>
      <c r="I185" s="11">
        <v>0</v>
      </c>
      <c r="J185" s="11">
        <v>0</v>
      </c>
      <c r="K185" s="11">
        <v>0</v>
      </c>
      <c r="L185" s="11">
        <v>36974500</v>
      </c>
      <c r="M185" s="11">
        <v>32534200</v>
      </c>
      <c r="N185" s="11">
        <v>0</v>
      </c>
    </row>
    <row r="186" spans="1:14" x14ac:dyDescent="0.3">
      <c r="A186" s="10">
        <v>46027</v>
      </c>
      <c r="B186" t="s">
        <v>19</v>
      </c>
      <c r="C186" t="str">
        <f t="shared" si="6"/>
        <v>3798512613186</v>
      </c>
      <c r="D186" t="str">
        <f t="shared" si="7"/>
        <v>Client186</v>
      </c>
      <c r="E186" t="str">
        <f t="shared" si="8"/>
        <v>BOB186</v>
      </c>
      <c r="F186" t="s">
        <v>20</v>
      </c>
      <c r="G186" s="11" t="s">
        <v>21</v>
      </c>
      <c r="H186" s="11">
        <v>0</v>
      </c>
      <c r="I186" s="11">
        <v>0</v>
      </c>
      <c r="J186" s="11">
        <v>0</v>
      </c>
      <c r="K186" s="11">
        <v>0</v>
      </c>
      <c r="L186" s="11">
        <v>193000</v>
      </c>
      <c r="M186" s="11">
        <v>908700</v>
      </c>
      <c r="N186" s="11">
        <v>0</v>
      </c>
    </row>
    <row r="187" spans="1:14" x14ac:dyDescent="0.3">
      <c r="A187" s="10">
        <v>46027</v>
      </c>
      <c r="B187" t="s">
        <v>19</v>
      </c>
      <c r="C187" t="str">
        <f t="shared" si="6"/>
        <v>3798512613187</v>
      </c>
      <c r="D187" t="str">
        <f t="shared" si="7"/>
        <v>Client187</v>
      </c>
      <c r="E187" t="str">
        <f t="shared" si="8"/>
        <v>BOB187</v>
      </c>
      <c r="F187" t="s">
        <v>24</v>
      </c>
      <c r="G187" s="11" t="s">
        <v>21</v>
      </c>
      <c r="H187" s="11">
        <v>0</v>
      </c>
      <c r="I187" s="11">
        <v>0</v>
      </c>
      <c r="J187" s="11">
        <v>0</v>
      </c>
      <c r="K187" s="11">
        <v>2000000</v>
      </c>
      <c r="L187" s="11">
        <v>1733100</v>
      </c>
      <c r="M187" s="11">
        <v>3144600</v>
      </c>
      <c r="N187" s="11">
        <v>0</v>
      </c>
    </row>
    <row r="188" spans="1:14" x14ac:dyDescent="0.3">
      <c r="A188" s="10">
        <v>46027</v>
      </c>
      <c r="B188" t="s">
        <v>19</v>
      </c>
      <c r="C188" t="str">
        <f t="shared" si="6"/>
        <v>3798512613188</v>
      </c>
      <c r="D188" t="str">
        <f t="shared" si="7"/>
        <v>Client188</v>
      </c>
      <c r="E188" t="str">
        <f t="shared" si="8"/>
        <v>BOB188</v>
      </c>
      <c r="F188" t="s">
        <v>26</v>
      </c>
      <c r="G188" s="11" t="s">
        <v>21</v>
      </c>
      <c r="H188" s="11">
        <v>0</v>
      </c>
      <c r="I188" s="11">
        <v>0</v>
      </c>
      <c r="J188" s="11">
        <v>1600000</v>
      </c>
      <c r="K188" s="11">
        <v>3600000</v>
      </c>
      <c r="L188" s="11">
        <v>7015800</v>
      </c>
      <c r="M188" s="11">
        <v>10917500</v>
      </c>
      <c r="N188" s="11">
        <v>0</v>
      </c>
    </row>
    <row r="189" spans="1:14" x14ac:dyDescent="0.3">
      <c r="A189" s="10">
        <v>46027</v>
      </c>
      <c r="B189" t="s">
        <v>19</v>
      </c>
      <c r="C189" t="str">
        <f t="shared" si="6"/>
        <v>3798512613189</v>
      </c>
      <c r="D189" t="str">
        <f t="shared" si="7"/>
        <v>Client189</v>
      </c>
      <c r="E189" t="str">
        <f t="shared" si="8"/>
        <v>BOB189</v>
      </c>
      <c r="F189" t="s">
        <v>25</v>
      </c>
      <c r="G189" s="11" t="s">
        <v>21</v>
      </c>
      <c r="H189" s="11">
        <v>0</v>
      </c>
      <c r="I189" s="11">
        <v>7010500</v>
      </c>
      <c r="J189" s="11">
        <v>5400000</v>
      </c>
      <c r="K189" s="11">
        <v>0</v>
      </c>
      <c r="L189" s="11">
        <v>44565600</v>
      </c>
      <c r="M189" s="11">
        <v>43258000</v>
      </c>
      <c r="N189" s="11">
        <v>0</v>
      </c>
    </row>
    <row r="190" spans="1:14" x14ac:dyDescent="0.3">
      <c r="A190" s="10">
        <v>46027</v>
      </c>
      <c r="B190" t="s">
        <v>19</v>
      </c>
      <c r="C190" t="str">
        <f t="shared" si="6"/>
        <v>3798512613190</v>
      </c>
      <c r="D190" t="str">
        <f t="shared" si="7"/>
        <v>Client190</v>
      </c>
      <c r="E190" t="str">
        <f t="shared" si="8"/>
        <v>BOB190</v>
      </c>
      <c r="G190" s="11"/>
      <c r="H190" s="11">
        <v>0</v>
      </c>
      <c r="I190" s="11">
        <v>0</v>
      </c>
      <c r="J190" s="11">
        <v>0</v>
      </c>
      <c r="K190" s="11">
        <v>3600000</v>
      </c>
      <c r="L190" s="11">
        <v>8308400</v>
      </c>
      <c r="M190" s="11">
        <v>12398800</v>
      </c>
      <c r="N190" s="11">
        <v>0</v>
      </c>
    </row>
    <row r="191" spans="1:14" x14ac:dyDescent="0.3">
      <c r="A191" s="10">
        <v>46027</v>
      </c>
      <c r="B191" t="s">
        <v>19</v>
      </c>
      <c r="C191" t="str">
        <f t="shared" si="6"/>
        <v>3798512613191</v>
      </c>
      <c r="D191" t="str">
        <f t="shared" si="7"/>
        <v>Client191</v>
      </c>
      <c r="E191" t="str">
        <f t="shared" si="8"/>
        <v>BOB191</v>
      </c>
      <c r="F191" t="s">
        <v>42</v>
      </c>
      <c r="G191" s="11" t="s">
        <v>21</v>
      </c>
      <c r="H191" s="11">
        <v>0</v>
      </c>
      <c r="I191" s="11">
        <v>2000000</v>
      </c>
      <c r="J191" s="11">
        <v>0</v>
      </c>
      <c r="K191" s="11">
        <v>0</v>
      </c>
      <c r="L191" s="11">
        <v>76815800</v>
      </c>
      <c r="M191" s="11">
        <v>74366400</v>
      </c>
      <c r="N191" s="11">
        <v>0</v>
      </c>
    </row>
    <row r="192" spans="1:14" x14ac:dyDescent="0.3">
      <c r="A192" s="10">
        <v>46027</v>
      </c>
      <c r="B192" t="s">
        <v>19</v>
      </c>
      <c r="C192" t="str">
        <f t="shared" si="6"/>
        <v>3798512613192</v>
      </c>
      <c r="D192" t="str">
        <f t="shared" si="7"/>
        <v>Client192</v>
      </c>
      <c r="E192" t="str">
        <f t="shared" si="8"/>
        <v>BOB192</v>
      </c>
      <c r="G192" s="11"/>
      <c r="H192" s="11">
        <v>0</v>
      </c>
      <c r="I192" s="11">
        <v>0</v>
      </c>
      <c r="J192" s="11">
        <v>0</v>
      </c>
      <c r="K192" s="11">
        <v>1800000</v>
      </c>
      <c r="L192" s="11">
        <v>4526200</v>
      </c>
      <c r="M192" s="11">
        <v>8268500</v>
      </c>
      <c r="N192" s="11">
        <v>0</v>
      </c>
    </row>
    <row r="193" spans="1:14" x14ac:dyDescent="0.3">
      <c r="A193" s="10">
        <v>46027</v>
      </c>
      <c r="B193" t="s">
        <v>19</v>
      </c>
      <c r="C193" t="str">
        <f t="shared" si="6"/>
        <v>3798512613193</v>
      </c>
      <c r="D193" t="str">
        <f t="shared" si="7"/>
        <v>Client193</v>
      </c>
      <c r="E193" t="str">
        <f t="shared" si="8"/>
        <v>BOB193</v>
      </c>
      <c r="F193" t="s">
        <v>25</v>
      </c>
      <c r="G193" s="11" t="s">
        <v>21</v>
      </c>
      <c r="H193" s="11">
        <v>0</v>
      </c>
      <c r="I193" s="11">
        <v>0</v>
      </c>
      <c r="J193" s="11">
        <v>1178000</v>
      </c>
      <c r="K193" s="11">
        <v>10388800</v>
      </c>
      <c r="L193" s="11">
        <v>12847800</v>
      </c>
      <c r="M193" s="11">
        <v>22131500</v>
      </c>
      <c r="N193" s="11">
        <v>0</v>
      </c>
    </row>
    <row r="194" spans="1:14" x14ac:dyDescent="0.3">
      <c r="A194" s="10">
        <v>46027</v>
      </c>
      <c r="B194" t="s">
        <v>19</v>
      </c>
      <c r="C194" t="str">
        <f t="shared" si="6"/>
        <v>3798512613194</v>
      </c>
      <c r="D194" t="str">
        <f t="shared" si="7"/>
        <v>Client194</v>
      </c>
      <c r="E194" t="str">
        <f t="shared" si="8"/>
        <v>BOB194</v>
      </c>
      <c r="F194" t="s">
        <v>22</v>
      </c>
      <c r="G194" s="11" t="s">
        <v>23</v>
      </c>
      <c r="H194" s="11">
        <v>0</v>
      </c>
      <c r="I194" s="11">
        <v>0</v>
      </c>
      <c r="J194" s="11">
        <v>23700000</v>
      </c>
      <c r="K194" s="11">
        <v>24888300</v>
      </c>
      <c r="L194" s="11">
        <v>89186100</v>
      </c>
      <c r="M194" s="11">
        <v>88029300</v>
      </c>
      <c r="N194" s="11">
        <v>0</v>
      </c>
    </row>
    <row r="195" spans="1:14" x14ac:dyDescent="0.3">
      <c r="A195" s="10">
        <v>46027</v>
      </c>
      <c r="B195" t="s">
        <v>19</v>
      </c>
      <c r="C195" t="str">
        <f t="shared" ref="C195:C258" si="9" xml:space="preserve"> "3798512613" &amp; ROW()</f>
        <v>3798512613195</v>
      </c>
      <c r="D195" t="str">
        <f t="shared" ref="D195:D258" si="10">"Client"&amp;ROW()</f>
        <v>Client195</v>
      </c>
      <c r="E195" t="str">
        <f t="shared" ref="E195:E258" si="11">"BOB"&amp;ROW()</f>
        <v>BOB195</v>
      </c>
      <c r="F195" t="s">
        <v>20</v>
      </c>
      <c r="G195" s="11" t="s">
        <v>21</v>
      </c>
      <c r="H195" s="11">
        <v>0</v>
      </c>
      <c r="I195" s="11">
        <v>0</v>
      </c>
      <c r="J195" s="11">
        <v>0</v>
      </c>
      <c r="K195" s="11">
        <v>0</v>
      </c>
      <c r="L195" s="11">
        <v>38170300</v>
      </c>
      <c r="M195" s="11">
        <v>50994500</v>
      </c>
      <c r="N195" s="11">
        <v>0</v>
      </c>
    </row>
    <row r="196" spans="1:14" x14ac:dyDescent="0.3">
      <c r="A196" s="10">
        <v>46027</v>
      </c>
      <c r="B196" t="s">
        <v>19</v>
      </c>
      <c r="C196" t="str">
        <f t="shared" si="9"/>
        <v>3798512613196</v>
      </c>
      <c r="D196" t="str">
        <f t="shared" si="10"/>
        <v>Client196</v>
      </c>
      <c r="E196" t="str">
        <f t="shared" si="11"/>
        <v>BOB196</v>
      </c>
      <c r="F196" t="s">
        <v>25</v>
      </c>
      <c r="G196" s="11" t="s">
        <v>21</v>
      </c>
      <c r="H196" s="11">
        <v>0</v>
      </c>
      <c r="I196" s="11">
        <v>0</v>
      </c>
      <c r="J196" s="11">
        <v>0</v>
      </c>
      <c r="K196" s="11">
        <v>0</v>
      </c>
      <c r="L196" s="11">
        <v>1892800</v>
      </c>
      <c r="M196" s="11">
        <v>1822300</v>
      </c>
      <c r="N196" s="11">
        <v>0</v>
      </c>
    </row>
    <row r="197" spans="1:14" x14ac:dyDescent="0.3">
      <c r="A197" s="10">
        <v>46027</v>
      </c>
      <c r="B197" t="s">
        <v>19</v>
      </c>
      <c r="C197" t="str">
        <f t="shared" si="9"/>
        <v>3798512613197</v>
      </c>
      <c r="D197" t="str">
        <f t="shared" si="10"/>
        <v>Client197</v>
      </c>
      <c r="E197" t="str">
        <f t="shared" si="11"/>
        <v>BOB197</v>
      </c>
      <c r="F197" t="s">
        <v>25</v>
      </c>
      <c r="G197" s="11" t="s">
        <v>21</v>
      </c>
      <c r="H197" s="11">
        <v>0</v>
      </c>
      <c r="I197" s="11">
        <v>0</v>
      </c>
      <c r="J197" s="11">
        <v>0</v>
      </c>
      <c r="K197" s="11">
        <v>0</v>
      </c>
      <c r="L197" s="11">
        <v>2967300</v>
      </c>
      <c r="M197" s="11">
        <v>3016100</v>
      </c>
      <c r="N197" s="11">
        <v>0</v>
      </c>
    </row>
    <row r="198" spans="1:14" x14ac:dyDescent="0.3">
      <c r="A198" s="10">
        <v>46027</v>
      </c>
      <c r="B198" t="s">
        <v>19</v>
      </c>
      <c r="C198" t="str">
        <f t="shared" si="9"/>
        <v>3798512613198</v>
      </c>
      <c r="D198" t="str">
        <f t="shared" si="10"/>
        <v>Client198</v>
      </c>
      <c r="E198" t="str">
        <f t="shared" si="11"/>
        <v>BOB198</v>
      </c>
      <c r="G198" s="11"/>
      <c r="H198" s="11">
        <v>0</v>
      </c>
      <c r="I198" s="11">
        <v>0</v>
      </c>
      <c r="J198" s="11">
        <v>0</v>
      </c>
      <c r="K198" s="11">
        <v>0</v>
      </c>
      <c r="L198" s="11">
        <v>10623900</v>
      </c>
      <c r="M198" s="11">
        <v>8777600</v>
      </c>
      <c r="N198" s="11">
        <v>0</v>
      </c>
    </row>
    <row r="199" spans="1:14" x14ac:dyDescent="0.3">
      <c r="A199" s="10">
        <v>46027</v>
      </c>
      <c r="B199" t="s">
        <v>19</v>
      </c>
      <c r="C199" t="str">
        <f t="shared" si="9"/>
        <v>3798512613199</v>
      </c>
      <c r="D199" t="str">
        <f t="shared" si="10"/>
        <v>Client199</v>
      </c>
      <c r="E199" t="str">
        <f t="shared" si="11"/>
        <v>BOB199</v>
      </c>
      <c r="F199" t="s">
        <v>20</v>
      </c>
      <c r="G199" s="11" t="s">
        <v>21</v>
      </c>
      <c r="H199" s="11">
        <v>0</v>
      </c>
      <c r="I199" s="11">
        <v>1500000</v>
      </c>
      <c r="J199" s="11">
        <v>0</v>
      </c>
      <c r="K199" s="11">
        <v>4004500</v>
      </c>
      <c r="L199" s="11">
        <v>8824100</v>
      </c>
      <c r="M199" s="11">
        <v>14878100</v>
      </c>
      <c r="N199" s="11">
        <v>0</v>
      </c>
    </row>
    <row r="200" spans="1:14" x14ac:dyDescent="0.3">
      <c r="A200" s="10">
        <v>46027</v>
      </c>
      <c r="B200" t="s">
        <v>19</v>
      </c>
      <c r="C200" t="str">
        <f t="shared" si="9"/>
        <v>3798512613200</v>
      </c>
      <c r="D200" t="str">
        <f t="shared" si="10"/>
        <v>Client200</v>
      </c>
      <c r="E200" t="str">
        <f t="shared" si="11"/>
        <v>BOB200</v>
      </c>
      <c r="F200" t="s">
        <v>22</v>
      </c>
      <c r="G200" s="11" t="s">
        <v>23</v>
      </c>
      <c r="H200" s="11">
        <v>0</v>
      </c>
      <c r="I200" s="11">
        <v>0</v>
      </c>
      <c r="J200" s="11">
        <v>0</v>
      </c>
      <c r="K200" s="11">
        <v>0</v>
      </c>
      <c r="L200" s="11">
        <v>587000</v>
      </c>
      <c r="M200" s="11">
        <v>750000</v>
      </c>
      <c r="N200" s="11">
        <v>0</v>
      </c>
    </row>
    <row r="201" spans="1:14" x14ac:dyDescent="0.3">
      <c r="A201" s="10">
        <v>46027</v>
      </c>
      <c r="B201" t="s">
        <v>19</v>
      </c>
      <c r="C201" t="str">
        <f t="shared" si="9"/>
        <v>3798512613201</v>
      </c>
      <c r="D201" t="str">
        <f t="shared" si="10"/>
        <v>Client201</v>
      </c>
      <c r="E201" t="str">
        <f t="shared" si="11"/>
        <v>BOB201</v>
      </c>
      <c r="F201" t="s">
        <v>26</v>
      </c>
      <c r="G201" s="11" t="s">
        <v>21</v>
      </c>
      <c r="H201" s="11">
        <v>0</v>
      </c>
      <c r="I201" s="11">
        <v>0</v>
      </c>
      <c r="J201" s="11">
        <v>0</v>
      </c>
      <c r="K201" s="11">
        <v>1500000</v>
      </c>
      <c r="L201" s="11">
        <v>7127400</v>
      </c>
      <c r="M201" s="11">
        <v>7969200</v>
      </c>
      <c r="N201" s="11">
        <v>0</v>
      </c>
    </row>
    <row r="202" spans="1:14" x14ac:dyDescent="0.3">
      <c r="A202" s="10">
        <v>46027</v>
      </c>
      <c r="B202" t="s">
        <v>19</v>
      </c>
      <c r="C202" t="str">
        <f t="shared" si="9"/>
        <v>3798512613202</v>
      </c>
      <c r="D202" t="str">
        <f t="shared" si="10"/>
        <v>Client202</v>
      </c>
      <c r="E202" t="str">
        <f t="shared" si="11"/>
        <v>BOB202</v>
      </c>
      <c r="F202" t="s">
        <v>25</v>
      </c>
      <c r="G202" s="11" t="s">
        <v>21</v>
      </c>
      <c r="H202" s="11">
        <v>0</v>
      </c>
      <c r="I202" s="11">
        <v>0</v>
      </c>
      <c r="J202" s="11">
        <v>2620000</v>
      </c>
      <c r="K202" s="11">
        <v>2710000</v>
      </c>
      <c r="L202" s="11">
        <v>8340000</v>
      </c>
      <c r="M202" s="11">
        <v>8449900</v>
      </c>
      <c r="N202" s="11">
        <v>0</v>
      </c>
    </row>
    <row r="203" spans="1:14" x14ac:dyDescent="0.3">
      <c r="A203" s="10">
        <v>46027</v>
      </c>
      <c r="B203" t="s">
        <v>19</v>
      </c>
      <c r="C203" t="str">
        <f t="shared" si="9"/>
        <v>3798512613203</v>
      </c>
      <c r="D203" t="str">
        <f t="shared" si="10"/>
        <v>Client203</v>
      </c>
      <c r="E203" t="str">
        <f t="shared" si="11"/>
        <v>BOB203</v>
      </c>
      <c r="G203" s="11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x14ac:dyDescent="0.3">
      <c r="A204" s="10">
        <v>46027</v>
      </c>
      <c r="B204" t="s">
        <v>19</v>
      </c>
      <c r="C204" t="str">
        <f t="shared" si="9"/>
        <v>3798512613204</v>
      </c>
      <c r="D204" t="str">
        <f t="shared" si="10"/>
        <v>Client204</v>
      </c>
      <c r="E204" t="str">
        <f t="shared" si="11"/>
        <v>BOB204</v>
      </c>
      <c r="F204" t="s">
        <v>25</v>
      </c>
      <c r="G204" s="11" t="s">
        <v>21</v>
      </c>
      <c r="H204" s="11">
        <v>0</v>
      </c>
      <c r="I204" s="11">
        <v>3900000</v>
      </c>
      <c r="J204" s="11">
        <v>0</v>
      </c>
      <c r="K204" s="11">
        <v>0</v>
      </c>
      <c r="L204" s="11">
        <v>56037900</v>
      </c>
      <c r="M204" s="11">
        <v>59104800</v>
      </c>
      <c r="N204" s="11">
        <v>0</v>
      </c>
    </row>
    <row r="205" spans="1:14" x14ac:dyDescent="0.3">
      <c r="A205" s="10">
        <v>46027</v>
      </c>
      <c r="B205" t="s">
        <v>19</v>
      </c>
      <c r="C205" t="str">
        <f t="shared" si="9"/>
        <v>3798512613205</v>
      </c>
      <c r="D205" t="str">
        <f t="shared" si="10"/>
        <v>Client205</v>
      </c>
      <c r="E205" t="str">
        <f t="shared" si="11"/>
        <v>BOB205</v>
      </c>
      <c r="F205" t="s">
        <v>24</v>
      </c>
      <c r="G205" s="11" t="s">
        <v>21</v>
      </c>
      <c r="H205" s="11">
        <v>0</v>
      </c>
      <c r="I205" s="11">
        <v>0</v>
      </c>
      <c r="J205" s="11">
        <v>1600000</v>
      </c>
      <c r="K205" s="11">
        <v>1800000</v>
      </c>
      <c r="L205" s="11">
        <v>8514100</v>
      </c>
      <c r="M205" s="11">
        <v>7739000</v>
      </c>
      <c r="N205" s="11">
        <v>0</v>
      </c>
    </row>
    <row r="206" spans="1:14" x14ac:dyDescent="0.3">
      <c r="A206" s="10">
        <v>46027</v>
      </c>
      <c r="B206" t="s">
        <v>19</v>
      </c>
      <c r="C206" t="str">
        <f t="shared" si="9"/>
        <v>3798512613206</v>
      </c>
      <c r="D206" t="str">
        <f t="shared" si="10"/>
        <v>Client206</v>
      </c>
      <c r="E206" t="str">
        <f t="shared" si="11"/>
        <v>BOB206</v>
      </c>
      <c r="G206" s="11"/>
      <c r="H206" s="11">
        <v>0</v>
      </c>
      <c r="I206" s="11">
        <v>0</v>
      </c>
      <c r="J206" s="11">
        <v>0</v>
      </c>
      <c r="K206" s="11">
        <v>1000000</v>
      </c>
      <c r="L206" s="11">
        <v>741200</v>
      </c>
      <c r="M206" s="11">
        <v>2128400</v>
      </c>
      <c r="N206" s="11">
        <v>0</v>
      </c>
    </row>
    <row r="207" spans="1:14" x14ac:dyDescent="0.3">
      <c r="A207" s="10">
        <v>46027</v>
      </c>
      <c r="B207" t="s">
        <v>19</v>
      </c>
      <c r="C207" t="str">
        <f t="shared" si="9"/>
        <v>3798512613207</v>
      </c>
      <c r="D207" t="str">
        <f t="shared" si="10"/>
        <v>Client207</v>
      </c>
      <c r="E207" t="str">
        <f t="shared" si="11"/>
        <v>BOB207</v>
      </c>
      <c r="F207" t="s">
        <v>25</v>
      </c>
      <c r="G207" s="11" t="s">
        <v>21</v>
      </c>
      <c r="H207" s="11">
        <v>0</v>
      </c>
      <c r="I207" s="11">
        <v>1000000</v>
      </c>
      <c r="J207" s="11">
        <v>1000000</v>
      </c>
      <c r="K207" s="11">
        <v>1000000</v>
      </c>
      <c r="L207" s="11">
        <v>24477200</v>
      </c>
      <c r="M207" s="11">
        <v>26571500</v>
      </c>
      <c r="N207" s="11">
        <v>0</v>
      </c>
    </row>
    <row r="208" spans="1:14" x14ac:dyDescent="0.3">
      <c r="A208" s="10">
        <v>46027</v>
      </c>
      <c r="B208" t="s">
        <v>19</v>
      </c>
      <c r="C208" t="str">
        <f t="shared" si="9"/>
        <v>3798512613208</v>
      </c>
      <c r="D208" t="str">
        <f t="shared" si="10"/>
        <v>Client208</v>
      </c>
      <c r="E208" t="str">
        <f t="shared" si="11"/>
        <v>BOB208</v>
      </c>
      <c r="F208" t="s">
        <v>22</v>
      </c>
      <c r="G208" s="11" t="s">
        <v>23</v>
      </c>
      <c r="H208" s="11">
        <v>0</v>
      </c>
      <c r="I208" s="11">
        <v>0</v>
      </c>
      <c r="J208" s="11">
        <v>0</v>
      </c>
      <c r="K208" s="11">
        <v>2002000</v>
      </c>
      <c r="L208" s="11">
        <v>5740900</v>
      </c>
      <c r="M208" s="11">
        <v>8181100</v>
      </c>
      <c r="N208" s="11">
        <v>0</v>
      </c>
    </row>
    <row r="209" spans="1:14" x14ac:dyDescent="0.3">
      <c r="A209" s="10">
        <v>46027</v>
      </c>
      <c r="B209" t="s">
        <v>19</v>
      </c>
      <c r="C209" t="str">
        <f t="shared" si="9"/>
        <v>3798512613209</v>
      </c>
      <c r="D209" t="str">
        <f t="shared" si="10"/>
        <v>Client209</v>
      </c>
      <c r="E209" t="str">
        <f t="shared" si="11"/>
        <v>BOB209</v>
      </c>
      <c r="F209" t="s">
        <v>24</v>
      </c>
      <c r="G209" s="11" t="s">
        <v>21</v>
      </c>
      <c r="H209" s="11">
        <v>0</v>
      </c>
      <c r="I209" s="11">
        <v>0</v>
      </c>
      <c r="J209" s="11">
        <v>600000</v>
      </c>
      <c r="K209" s="11">
        <v>800000</v>
      </c>
      <c r="L209" s="11">
        <v>3287000</v>
      </c>
      <c r="M209" s="11">
        <v>3561100</v>
      </c>
      <c r="N209" s="11">
        <v>0</v>
      </c>
    </row>
    <row r="210" spans="1:14" x14ac:dyDescent="0.3">
      <c r="A210" s="10">
        <v>46027</v>
      </c>
      <c r="B210" t="s">
        <v>19</v>
      </c>
      <c r="C210" t="str">
        <f t="shared" si="9"/>
        <v>3798512613210</v>
      </c>
      <c r="D210" t="str">
        <f t="shared" si="10"/>
        <v>Client210</v>
      </c>
      <c r="E210" t="str">
        <f t="shared" si="11"/>
        <v>BOB210</v>
      </c>
      <c r="F210" t="s">
        <v>42</v>
      </c>
      <c r="G210" s="11" t="s">
        <v>21</v>
      </c>
      <c r="H210" s="11">
        <v>18804800</v>
      </c>
      <c r="I210" s="11">
        <v>0</v>
      </c>
      <c r="J210" s="11">
        <v>0</v>
      </c>
      <c r="K210" s="11">
        <v>0</v>
      </c>
      <c r="L210" s="11">
        <v>18817100</v>
      </c>
      <c r="M210" s="11">
        <v>0</v>
      </c>
      <c r="N210" s="11">
        <v>0</v>
      </c>
    </row>
    <row r="211" spans="1:14" x14ac:dyDescent="0.3">
      <c r="A211" s="10">
        <v>46027</v>
      </c>
      <c r="B211" t="s">
        <v>19</v>
      </c>
      <c r="C211" t="str">
        <f t="shared" si="9"/>
        <v>3798512613211</v>
      </c>
      <c r="D211" t="str">
        <f t="shared" si="10"/>
        <v>Client211</v>
      </c>
      <c r="E211" t="str">
        <f t="shared" si="11"/>
        <v>BOB211</v>
      </c>
      <c r="G211" s="11"/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</row>
    <row r="212" spans="1:14" x14ac:dyDescent="0.3">
      <c r="A212" s="10">
        <v>46027</v>
      </c>
      <c r="B212" t="s">
        <v>19</v>
      </c>
      <c r="C212" t="str">
        <f t="shared" si="9"/>
        <v>3798512613212</v>
      </c>
      <c r="D212" t="str">
        <f t="shared" si="10"/>
        <v>Client212</v>
      </c>
      <c r="E212" t="str">
        <f t="shared" si="11"/>
        <v>BOB212</v>
      </c>
      <c r="F212" t="s">
        <v>22</v>
      </c>
      <c r="G212" s="11" t="s">
        <v>23</v>
      </c>
      <c r="H212" s="11">
        <v>0</v>
      </c>
      <c r="I212" s="11">
        <v>0</v>
      </c>
      <c r="J212" s="11">
        <v>0</v>
      </c>
      <c r="K212" s="11">
        <v>2000000</v>
      </c>
      <c r="L212" s="11">
        <v>12805800</v>
      </c>
      <c r="M212" s="11">
        <v>12151100</v>
      </c>
      <c r="N212" s="11">
        <v>0</v>
      </c>
    </row>
    <row r="213" spans="1:14" x14ac:dyDescent="0.3">
      <c r="A213" s="10">
        <v>46027</v>
      </c>
      <c r="B213" t="s">
        <v>19</v>
      </c>
      <c r="C213" t="str">
        <f t="shared" si="9"/>
        <v>3798512613213</v>
      </c>
      <c r="D213" t="str">
        <f t="shared" si="10"/>
        <v>Client213</v>
      </c>
      <c r="E213" t="str">
        <f t="shared" si="11"/>
        <v>BOB213</v>
      </c>
      <c r="F213" t="s">
        <v>26</v>
      </c>
      <c r="G213" s="11" t="s">
        <v>63</v>
      </c>
      <c r="H213" s="11">
        <v>0</v>
      </c>
      <c r="I213" s="11">
        <v>0</v>
      </c>
      <c r="J213" s="11">
        <v>0</v>
      </c>
      <c r="K213" s="11">
        <v>3826000</v>
      </c>
      <c r="L213" s="11">
        <v>2290000</v>
      </c>
      <c r="M213" s="11">
        <v>5352200</v>
      </c>
      <c r="N213" s="11">
        <v>0</v>
      </c>
    </row>
    <row r="214" spans="1:14" x14ac:dyDescent="0.3">
      <c r="A214" s="10">
        <v>46027</v>
      </c>
      <c r="B214" t="s">
        <v>19</v>
      </c>
      <c r="C214" t="str">
        <f t="shared" si="9"/>
        <v>3798512613214</v>
      </c>
      <c r="D214" t="str">
        <f t="shared" si="10"/>
        <v>Client214</v>
      </c>
      <c r="E214" t="str">
        <f t="shared" si="11"/>
        <v>BOB214</v>
      </c>
      <c r="F214" t="s">
        <v>20</v>
      </c>
      <c r="G214" s="11" t="s">
        <v>21</v>
      </c>
      <c r="H214" s="11">
        <v>0</v>
      </c>
      <c r="I214" s="11">
        <v>0</v>
      </c>
      <c r="J214" s="11">
        <v>0</v>
      </c>
      <c r="K214" s="11">
        <v>0</v>
      </c>
      <c r="L214" s="11">
        <v>2037100</v>
      </c>
      <c r="M214" s="11">
        <v>1732400</v>
      </c>
      <c r="N214" s="11">
        <v>0</v>
      </c>
    </row>
    <row r="215" spans="1:14" x14ac:dyDescent="0.3">
      <c r="A215" s="10">
        <v>46027</v>
      </c>
      <c r="B215" t="s">
        <v>19</v>
      </c>
      <c r="C215" t="str">
        <f t="shared" si="9"/>
        <v>3798512613215</v>
      </c>
      <c r="D215" t="str">
        <f t="shared" si="10"/>
        <v>Client215</v>
      </c>
      <c r="E215" t="str">
        <f t="shared" si="11"/>
        <v>BOB215</v>
      </c>
      <c r="F215" t="s">
        <v>26</v>
      </c>
      <c r="G215" s="11" t="s">
        <v>59</v>
      </c>
      <c r="H215" s="11">
        <v>0</v>
      </c>
      <c r="I215" s="11">
        <v>0</v>
      </c>
      <c r="J215" s="11">
        <v>0</v>
      </c>
      <c r="K215" s="11">
        <v>0</v>
      </c>
      <c r="L215" s="11">
        <v>2000</v>
      </c>
      <c r="M215" s="11">
        <v>117000</v>
      </c>
      <c r="N215" s="11">
        <v>0</v>
      </c>
    </row>
    <row r="216" spans="1:14" x14ac:dyDescent="0.3">
      <c r="A216" s="10">
        <v>46027</v>
      </c>
      <c r="B216" t="s">
        <v>19</v>
      </c>
      <c r="C216" t="str">
        <f t="shared" si="9"/>
        <v>3798512613216</v>
      </c>
      <c r="D216" t="str">
        <f t="shared" si="10"/>
        <v>Client216</v>
      </c>
      <c r="E216" t="str">
        <f t="shared" si="11"/>
        <v>BOB216</v>
      </c>
      <c r="F216" t="s">
        <v>25</v>
      </c>
      <c r="G216" s="11" t="s">
        <v>21</v>
      </c>
      <c r="H216" s="11">
        <v>0</v>
      </c>
      <c r="I216" s="11">
        <v>0</v>
      </c>
      <c r="J216" s="11">
        <v>0</v>
      </c>
      <c r="K216" s="11">
        <v>0</v>
      </c>
      <c r="L216" s="11">
        <v>2748000</v>
      </c>
      <c r="M216" s="11">
        <v>2830700</v>
      </c>
      <c r="N216" s="11">
        <v>0</v>
      </c>
    </row>
    <row r="217" spans="1:14" x14ac:dyDescent="0.3">
      <c r="A217" s="10">
        <v>46027</v>
      </c>
      <c r="B217" t="s">
        <v>19</v>
      </c>
      <c r="C217" t="str">
        <f t="shared" si="9"/>
        <v>3798512613217</v>
      </c>
      <c r="D217" t="str">
        <f t="shared" si="10"/>
        <v>Client217</v>
      </c>
      <c r="E217" t="str">
        <f t="shared" si="11"/>
        <v>BOB217</v>
      </c>
      <c r="F217" t="s">
        <v>20</v>
      </c>
      <c r="G217" s="11" t="s">
        <v>21</v>
      </c>
      <c r="H217" s="11">
        <v>0</v>
      </c>
      <c r="I217" s="11">
        <v>2127800</v>
      </c>
      <c r="J217" s="11">
        <v>0</v>
      </c>
      <c r="K217" s="11">
        <v>9445500</v>
      </c>
      <c r="L217" s="11">
        <v>28295100</v>
      </c>
      <c r="M217" s="11">
        <v>40516900</v>
      </c>
      <c r="N217" s="11">
        <v>0</v>
      </c>
    </row>
    <row r="218" spans="1:14" x14ac:dyDescent="0.3">
      <c r="A218" s="10">
        <v>46027</v>
      </c>
      <c r="B218" t="s">
        <v>19</v>
      </c>
      <c r="C218" t="str">
        <f t="shared" si="9"/>
        <v>3798512613218</v>
      </c>
      <c r="D218" t="str">
        <f t="shared" si="10"/>
        <v>Client218</v>
      </c>
      <c r="E218" t="str">
        <f t="shared" si="11"/>
        <v>BOB218</v>
      </c>
      <c r="F218" t="s">
        <v>26</v>
      </c>
      <c r="G218" s="11" t="s">
        <v>21</v>
      </c>
      <c r="H218" s="11">
        <v>0</v>
      </c>
      <c r="I218" s="11">
        <v>0</v>
      </c>
      <c r="J218" s="11">
        <v>0</v>
      </c>
      <c r="K218" s="11">
        <v>1500000</v>
      </c>
      <c r="L218" s="11">
        <v>9576400</v>
      </c>
      <c r="M218" s="11">
        <v>11741800</v>
      </c>
      <c r="N218" s="11">
        <v>0</v>
      </c>
    </row>
    <row r="219" spans="1:14" x14ac:dyDescent="0.3">
      <c r="A219" s="10">
        <v>46027</v>
      </c>
      <c r="B219" t="s">
        <v>19</v>
      </c>
      <c r="C219" t="str">
        <f t="shared" si="9"/>
        <v>3798512613219</v>
      </c>
      <c r="D219" t="str">
        <f t="shared" si="10"/>
        <v>Client219</v>
      </c>
      <c r="E219" t="str">
        <f t="shared" si="11"/>
        <v>BOB219</v>
      </c>
      <c r="F219" t="s">
        <v>20</v>
      </c>
      <c r="G219" s="11" t="s">
        <v>21</v>
      </c>
      <c r="H219" s="11">
        <v>226369750</v>
      </c>
      <c r="I219" s="11">
        <v>0</v>
      </c>
      <c r="J219" s="11">
        <v>0</v>
      </c>
      <c r="K219" s="11">
        <v>45000000</v>
      </c>
      <c r="L219" s="11">
        <v>192867300</v>
      </c>
      <c r="M219" s="11">
        <v>0</v>
      </c>
      <c r="N219" s="11">
        <v>0</v>
      </c>
    </row>
    <row r="220" spans="1:14" x14ac:dyDescent="0.3">
      <c r="A220" s="10">
        <v>46027</v>
      </c>
      <c r="B220" t="s">
        <v>19</v>
      </c>
      <c r="C220" t="str">
        <f t="shared" si="9"/>
        <v>3798512613220</v>
      </c>
      <c r="D220" t="str">
        <f t="shared" si="10"/>
        <v>Client220</v>
      </c>
      <c r="E220" t="str">
        <f t="shared" si="11"/>
        <v>BOB220</v>
      </c>
      <c r="F220" t="s">
        <v>26</v>
      </c>
      <c r="G220" s="11" t="s">
        <v>21</v>
      </c>
      <c r="H220" s="11">
        <v>0</v>
      </c>
      <c r="I220" s="11">
        <v>0</v>
      </c>
      <c r="J220" s="11">
        <v>0</v>
      </c>
      <c r="K220" s="11">
        <v>30550000</v>
      </c>
      <c r="L220" s="11">
        <v>19695900</v>
      </c>
      <c r="M220" s="11">
        <v>61575600</v>
      </c>
      <c r="N220" s="11">
        <v>0</v>
      </c>
    </row>
    <row r="221" spans="1:14" x14ac:dyDescent="0.3">
      <c r="A221" s="10">
        <v>46027</v>
      </c>
      <c r="B221" t="s">
        <v>19</v>
      </c>
      <c r="C221" t="str">
        <f t="shared" si="9"/>
        <v>3798512613221</v>
      </c>
      <c r="D221" t="str">
        <f t="shared" si="10"/>
        <v>Client221</v>
      </c>
      <c r="E221" t="str">
        <f t="shared" si="11"/>
        <v>BOB221</v>
      </c>
      <c r="F221" t="s">
        <v>25</v>
      </c>
      <c r="G221" s="11" t="s">
        <v>21</v>
      </c>
      <c r="H221" s="11">
        <v>0</v>
      </c>
      <c r="I221" s="11">
        <v>0</v>
      </c>
      <c r="J221" s="11">
        <v>0</v>
      </c>
      <c r="K221" s="11">
        <v>0</v>
      </c>
      <c r="L221" s="11">
        <v>7947800</v>
      </c>
      <c r="M221" s="11">
        <v>7994000</v>
      </c>
      <c r="N221" s="11">
        <v>0</v>
      </c>
    </row>
    <row r="222" spans="1:14" x14ac:dyDescent="0.3">
      <c r="A222" s="10">
        <v>46027</v>
      </c>
      <c r="B222" t="s">
        <v>19</v>
      </c>
      <c r="C222" t="str">
        <f t="shared" si="9"/>
        <v>3798512613222</v>
      </c>
      <c r="D222" t="str">
        <f t="shared" si="10"/>
        <v>Client222</v>
      </c>
      <c r="E222" t="str">
        <f t="shared" si="11"/>
        <v>BOB222</v>
      </c>
      <c r="F222" t="s">
        <v>25</v>
      </c>
      <c r="G222" s="11" t="s">
        <v>21</v>
      </c>
      <c r="H222" s="11">
        <v>0</v>
      </c>
      <c r="I222" s="11">
        <v>0</v>
      </c>
      <c r="J222" s="11">
        <v>9300000</v>
      </c>
      <c r="K222" s="11">
        <v>0</v>
      </c>
      <c r="L222" s="11">
        <v>12605900</v>
      </c>
      <c r="M222" s="11">
        <v>3293000</v>
      </c>
      <c r="N222" s="11">
        <v>0</v>
      </c>
    </row>
    <row r="223" spans="1:14" x14ac:dyDescent="0.3">
      <c r="A223" s="10">
        <v>46027</v>
      </c>
      <c r="B223" t="s">
        <v>19</v>
      </c>
      <c r="C223" t="str">
        <f t="shared" si="9"/>
        <v>3798512613223</v>
      </c>
      <c r="D223" t="str">
        <f t="shared" si="10"/>
        <v>Client223</v>
      </c>
      <c r="E223" t="str">
        <f t="shared" si="11"/>
        <v>BOB223</v>
      </c>
      <c r="G223" s="11"/>
      <c r="H223" s="11">
        <v>0</v>
      </c>
      <c r="I223" s="11">
        <v>0</v>
      </c>
      <c r="J223" s="11">
        <v>1700000</v>
      </c>
      <c r="K223" s="11">
        <v>1700000</v>
      </c>
      <c r="L223" s="11">
        <v>46981700</v>
      </c>
      <c r="M223" s="11">
        <v>43043300</v>
      </c>
      <c r="N223" s="11">
        <v>0</v>
      </c>
    </row>
    <row r="224" spans="1:14" x14ac:dyDescent="0.3">
      <c r="A224" s="10">
        <v>46027</v>
      </c>
      <c r="B224" t="s">
        <v>19</v>
      </c>
      <c r="C224" t="str">
        <f t="shared" si="9"/>
        <v>3798512613224</v>
      </c>
      <c r="D224" t="str">
        <f t="shared" si="10"/>
        <v>Client224</v>
      </c>
      <c r="E224" t="str">
        <f t="shared" si="11"/>
        <v>BOB224</v>
      </c>
      <c r="F224" t="s">
        <v>25</v>
      </c>
      <c r="G224" s="11" t="s">
        <v>21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1:14" x14ac:dyDescent="0.3">
      <c r="A225" s="10">
        <v>46027</v>
      </c>
      <c r="B225" t="s">
        <v>19</v>
      </c>
      <c r="C225" t="str">
        <f t="shared" si="9"/>
        <v>3798512613225</v>
      </c>
      <c r="D225" t="str">
        <f t="shared" si="10"/>
        <v>Client225</v>
      </c>
      <c r="E225" t="str">
        <f t="shared" si="11"/>
        <v>BOB225</v>
      </c>
      <c r="F225" t="s">
        <v>20</v>
      </c>
      <c r="G225" s="11" t="s">
        <v>21</v>
      </c>
      <c r="H225" s="11">
        <v>0</v>
      </c>
      <c r="I225" s="11">
        <v>0</v>
      </c>
      <c r="J225" s="11">
        <v>0</v>
      </c>
      <c r="K225" s="11">
        <v>1001500</v>
      </c>
      <c r="L225" s="11">
        <v>6957800</v>
      </c>
      <c r="M225" s="11">
        <v>8264800</v>
      </c>
      <c r="N225" s="11">
        <v>0</v>
      </c>
    </row>
    <row r="226" spans="1:14" x14ac:dyDescent="0.3">
      <c r="A226" s="10">
        <v>46027</v>
      </c>
      <c r="B226" t="s">
        <v>19</v>
      </c>
      <c r="C226" t="str">
        <f t="shared" si="9"/>
        <v>3798512613226</v>
      </c>
      <c r="D226" t="str">
        <f t="shared" si="10"/>
        <v>Client226</v>
      </c>
      <c r="E226" t="str">
        <f t="shared" si="11"/>
        <v>BOB226</v>
      </c>
      <c r="F226" t="s">
        <v>20</v>
      </c>
      <c r="G226" s="11" t="s">
        <v>21</v>
      </c>
      <c r="H226" s="11">
        <v>0</v>
      </c>
      <c r="I226" s="11">
        <v>0</v>
      </c>
      <c r="J226" s="11">
        <v>1780000</v>
      </c>
      <c r="K226" s="11">
        <v>4480000</v>
      </c>
      <c r="L226" s="11">
        <v>18660600</v>
      </c>
      <c r="M226" s="11">
        <v>20224800</v>
      </c>
      <c r="N226" s="11">
        <v>0</v>
      </c>
    </row>
    <row r="227" spans="1:14" x14ac:dyDescent="0.3">
      <c r="A227" s="10">
        <v>46027</v>
      </c>
      <c r="B227" t="s">
        <v>19</v>
      </c>
      <c r="C227" t="str">
        <f t="shared" si="9"/>
        <v>3798512613227</v>
      </c>
      <c r="D227" t="str">
        <f t="shared" si="10"/>
        <v>Client227</v>
      </c>
      <c r="E227" t="str">
        <f t="shared" si="11"/>
        <v>BOB227</v>
      </c>
      <c r="F227" t="s">
        <v>20</v>
      </c>
      <c r="G227" s="11" t="s">
        <v>21</v>
      </c>
      <c r="H227" s="11">
        <v>0</v>
      </c>
      <c r="I227" s="11">
        <v>0</v>
      </c>
      <c r="J227" s="11">
        <v>0</v>
      </c>
      <c r="K227" s="11">
        <v>0</v>
      </c>
      <c r="L227" s="11">
        <v>6523900</v>
      </c>
      <c r="M227" s="11">
        <v>6236000</v>
      </c>
      <c r="N227" s="11">
        <v>0</v>
      </c>
    </row>
    <row r="228" spans="1:14" x14ac:dyDescent="0.3">
      <c r="A228" s="10">
        <v>46027</v>
      </c>
      <c r="B228" t="s">
        <v>19</v>
      </c>
      <c r="C228" t="str">
        <f t="shared" si="9"/>
        <v>3798512613228</v>
      </c>
      <c r="D228" t="str">
        <f t="shared" si="10"/>
        <v>Client228</v>
      </c>
      <c r="E228" t="str">
        <f t="shared" si="11"/>
        <v>BOB228</v>
      </c>
      <c r="F228" t="s">
        <v>24</v>
      </c>
      <c r="G228" s="11" t="s">
        <v>21</v>
      </c>
      <c r="H228" s="11">
        <v>0</v>
      </c>
      <c r="I228" s="11">
        <v>0</v>
      </c>
      <c r="J228" s="11">
        <v>0</v>
      </c>
      <c r="K228" s="11">
        <v>4006000</v>
      </c>
      <c r="L228" s="11">
        <v>5600300</v>
      </c>
      <c r="M228" s="11">
        <v>10369100</v>
      </c>
      <c r="N228" s="11">
        <v>0</v>
      </c>
    </row>
    <row r="229" spans="1:14" x14ac:dyDescent="0.3">
      <c r="A229" s="10">
        <v>46027</v>
      </c>
      <c r="B229" t="s">
        <v>19</v>
      </c>
      <c r="C229" t="str">
        <f t="shared" si="9"/>
        <v>3798512613229</v>
      </c>
      <c r="D229" t="str">
        <f t="shared" si="10"/>
        <v>Client229</v>
      </c>
      <c r="E229" t="str">
        <f t="shared" si="11"/>
        <v>BOB229</v>
      </c>
      <c r="F229" t="s">
        <v>20</v>
      </c>
      <c r="G229" s="11" t="s">
        <v>21</v>
      </c>
      <c r="H229" s="11">
        <v>0</v>
      </c>
      <c r="I229" s="11">
        <v>2000000</v>
      </c>
      <c r="J229" s="11">
        <v>0</v>
      </c>
      <c r="K229" s="11">
        <v>5629400</v>
      </c>
      <c r="L229" s="11">
        <v>8573400</v>
      </c>
      <c r="M229" s="11">
        <v>16972200</v>
      </c>
      <c r="N229" s="11">
        <v>0</v>
      </c>
    </row>
    <row r="230" spans="1:14" x14ac:dyDescent="0.3">
      <c r="A230" s="10">
        <v>46027</v>
      </c>
      <c r="B230" t="s">
        <v>19</v>
      </c>
      <c r="C230" t="str">
        <f t="shared" si="9"/>
        <v>3798512613230</v>
      </c>
      <c r="D230" t="str">
        <f t="shared" si="10"/>
        <v>Client230</v>
      </c>
      <c r="E230" t="str">
        <f t="shared" si="11"/>
        <v>BOB230</v>
      </c>
      <c r="F230" t="s">
        <v>26</v>
      </c>
      <c r="G230" s="11" t="s">
        <v>53</v>
      </c>
      <c r="H230" s="11">
        <v>0</v>
      </c>
      <c r="I230" s="11">
        <v>0</v>
      </c>
      <c r="J230" s="11">
        <v>0</v>
      </c>
      <c r="K230" s="11">
        <v>0</v>
      </c>
      <c r="L230" s="11">
        <v>13520100</v>
      </c>
      <c r="M230" s="11">
        <v>12113700</v>
      </c>
      <c r="N230" s="11">
        <v>0</v>
      </c>
    </row>
    <row r="231" spans="1:14" x14ac:dyDescent="0.3">
      <c r="A231" s="10">
        <v>46027</v>
      </c>
      <c r="B231" t="s">
        <v>19</v>
      </c>
      <c r="C231" t="str">
        <f t="shared" si="9"/>
        <v>3798512613231</v>
      </c>
      <c r="D231" t="str">
        <f t="shared" si="10"/>
        <v>Client231</v>
      </c>
      <c r="E231" t="str">
        <f t="shared" si="11"/>
        <v>BOB231</v>
      </c>
      <c r="F231" t="s">
        <v>25</v>
      </c>
      <c r="G231" s="11" t="s">
        <v>21</v>
      </c>
      <c r="H231" s="11">
        <v>225000000</v>
      </c>
      <c r="I231" s="11">
        <v>0</v>
      </c>
      <c r="J231" s="11">
        <v>0</v>
      </c>
      <c r="K231" s="11">
        <v>0</v>
      </c>
      <c r="L231" s="11">
        <v>290619100</v>
      </c>
      <c r="M231" s="11">
        <v>50731800</v>
      </c>
      <c r="N231" s="11">
        <v>0</v>
      </c>
    </row>
    <row r="232" spans="1:14" x14ac:dyDescent="0.3">
      <c r="A232" s="10">
        <v>46027</v>
      </c>
      <c r="B232" t="s">
        <v>19</v>
      </c>
      <c r="C232" t="str">
        <f t="shared" si="9"/>
        <v>3798512613232</v>
      </c>
      <c r="D232" t="str">
        <f t="shared" si="10"/>
        <v>Client232</v>
      </c>
      <c r="E232" t="str">
        <f t="shared" si="11"/>
        <v>BOB232</v>
      </c>
      <c r="F232" t="s">
        <v>26</v>
      </c>
      <c r="G232" s="11" t="s">
        <v>63</v>
      </c>
      <c r="H232" s="11">
        <v>0</v>
      </c>
      <c r="I232" s="11">
        <v>0</v>
      </c>
      <c r="J232" s="11">
        <v>0</v>
      </c>
      <c r="K232" s="11">
        <v>6700000</v>
      </c>
      <c r="L232" s="11">
        <v>9585200</v>
      </c>
      <c r="M232" s="11">
        <v>15504700</v>
      </c>
      <c r="N232" s="11">
        <v>0</v>
      </c>
    </row>
    <row r="233" spans="1:14" x14ac:dyDescent="0.3">
      <c r="A233" s="10">
        <v>46027</v>
      </c>
      <c r="B233" t="s">
        <v>19</v>
      </c>
      <c r="C233" t="str">
        <f t="shared" si="9"/>
        <v>3798512613233</v>
      </c>
      <c r="D233" t="str">
        <f t="shared" si="10"/>
        <v>Client233</v>
      </c>
      <c r="E233" t="str">
        <f t="shared" si="11"/>
        <v>BOB233</v>
      </c>
      <c r="F233" t="s">
        <v>24</v>
      </c>
      <c r="G233" s="11" t="s">
        <v>21</v>
      </c>
      <c r="H233" s="11">
        <v>0</v>
      </c>
      <c r="I233" s="11">
        <v>0</v>
      </c>
      <c r="J233" s="11">
        <v>300000</v>
      </c>
      <c r="K233" s="11">
        <v>300000</v>
      </c>
      <c r="L233" s="11">
        <v>5278500</v>
      </c>
      <c r="M233" s="11">
        <v>5761400</v>
      </c>
      <c r="N233" s="11">
        <v>0</v>
      </c>
    </row>
    <row r="234" spans="1:14" x14ac:dyDescent="0.3">
      <c r="A234" s="10">
        <v>46027</v>
      </c>
      <c r="B234" t="s">
        <v>19</v>
      </c>
      <c r="C234" t="str">
        <f t="shared" si="9"/>
        <v>3798512613234</v>
      </c>
      <c r="D234" t="str">
        <f t="shared" si="10"/>
        <v>Client234</v>
      </c>
      <c r="E234" t="str">
        <f t="shared" si="11"/>
        <v>BOB234</v>
      </c>
      <c r="F234" t="s">
        <v>20</v>
      </c>
      <c r="G234" s="11" t="s">
        <v>21</v>
      </c>
      <c r="H234" s="11">
        <v>0</v>
      </c>
      <c r="I234" s="11">
        <v>0</v>
      </c>
      <c r="J234" s="11">
        <v>0</v>
      </c>
      <c r="K234" s="11">
        <v>8504500</v>
      </c>
      <c r="L234" s="11">
        <v>14166800</v>
      </c>
      <c r="M234" s="11">
        <v>18155100</v>
      </c>
      <c r="N234" s="11">
        <v>0</v>
      </c>
    </row>
    <row r="235" spans="1:14" x14ac:dyDescent="0.3">
      <c r="A235" s="10">
        <v>46027</v>
      </c>
      <c r="B235" t="s">
        <v>19</v>
      </c>
      <c r="C235" t="str">
        <f t="shared" si="9"/>
        <v>3798512613235</v>
      </c>
      <c r="D235" t="str">
        <f t="shared" si="10"/>
        <v>Client235</v>
      </c>
      <c r="E235" t="str">
        <f t="shared" si="11"/>
        <v>BOB235</v>
      </c>
      <c r="F235" t="s">
        <v>20</v>
      </c>
      <c r="G235" s="11" t="s">
        <v>21</v>
      </c>
      <c r="H235" s="11">
        <v>3000000</v>
      </c>
      <c r="I235" s="11">
        <v>9019000</v>
      </c>
      <c r="J235" s="11">
        <v>0</v>
      </c>
      <c r="K235" s="11">
        <v>0</v>
      </c>
      <c r="L235" s="11">
        <v>37616400</v>
      </c>
      <c r="M235" s="11">
        <v>44898000</v>
      </c>
      <c r="N235" s="11">
        <v>0</v>
      </c>
    </row>
    <row r="236" spans="1:14" x14ac:dyDescent="0.3">
      <c r="A236" s="10">
        <v>46027</v>
      </c>
      <c r="B236" t="s">
        <v>19</v>
      </c>
      <c r="C236" t="str">
        <f t="shared" si="9"/>
        <v>3798512613236</v>
      </c>
      <c r="D236" t="str">
        <f t="shared" si="10"/>
        <v>Client236</v>
      </c>
      <c r="E236" t="str">
        <f t="shared" si="11"/>
        <v>BOB236</v>
      </c>
      <c r="F236" t="s">
        <v>24</v>
      </c>
      <c r="G236" s="11" t="s">
        <v>64</v>
      </c>
      <c r="H236" s="11">
        <v>0</v>
      </c>
      <c r="I236" s="11">
        <v>0</v>
      </c>
      <c r="J236" s="11">
        <v>0</v>
      </c>
      <c r="K236" s="11">
        <v>19114500</v>
      </c>
      <c r="L236" s="11">
        <v>29970000</v>
      </c>
      <c r="M236" s="11">
        <v>46302500</v>
      </c>
      <c r="N236" s="11">
        <v>0</v>
      </c>
    </row>
    <row r="237" spans="1:14" x14ac:dyDescent="0.3">
      <c r="A237" s="10">
        <v>46027</v>
      </c>
      <c r="B237" t="s">
        <v>19</v>
      </c>
      <c r="C237" t="str">
        <f t="shared" si="9"/>
        <v>3798512613237</v>
      </c>
      <c r="D237" t="str">
        <f t="shared" si="10"/>
        <v>Client237</v>
      </c>
      <c r="E237" t="str">
        <f t="shared" si="11"/>
        <v>BOB237</v>
      </c>
      <c r="F237" t="s">
        <v>20</v>
      </c>
      <c r="G237" s="11" t="s">
        <v>21</v>
      </c>
      <c r="H237" s="11">
        <v>0</v>
      </c>
      <c r="I237" s="11">
        <v>0</v>
      </c>
      <c r="J237" s="11">
        <v>7000000</v>
      </c>
      <c r="K237" s="11">
        <v>520000</v>
      </c>
      <c r="L237" s="11">
        <v>7341100</v>
      </c>
      <c r="M237" s="11">
        <v>1300400</v>
      </c>
      <c r="N237" s="11">
        <v>0</v>
      </c>
    </row>
    <row r="238" spans="1:14" x14ac:dyDescent="0.3">
      <c r="A238" s="10">
        <v>46027</v>
      </c>
      <c r="B238" t="s">
        <v>19</v>
      </c>
      <c r="C238" t="str">
        <f t="shared" si="9"/>
        <v>3798512613238</v>
      </c>
      <c r="D238" t="str">
        <f t="shared" si="10"/>
        <v>Client238</v>
      </c>
      <c r="E238" t="str">
        <f t="shared" si="11"/>
        <v>BOB238</v>
      </c>
      <c r="F238" t="s">
        <v>24</v>
      </c>
      <c r="G238" s="11" t="s">
        <v>21</v>
      </c>
      <c r="H238" s="11">
        <v>0</v>
      </c>
      <c r="I238" s="11">
        <v>0</v>
      </c>
      <c r="J238" s="11">
        <v>0</v>
      </c>
      <c r="K238" s="11">
        <v>0</v>
      </c>
      <c r="L238" s="11">
        <v>3012300</v>
      </c>
      <c r="M238" s="11">
        <v>3037300</v>
      </c>
      <c r="N238" s="11">
        <v>0</v>
      </c>
    </row>
    <row r="239" spans="1:14" x14ac:dyDescent="0.3">
      <c r="A239" s="10">
        <v>46027</v>
      </c>
      <c r="B239" t="s">
        <v>19</v>
      </c>
      <c r="C239" t="str">
        <f t="shared" si="9"/>
        <v>3798512613239</v>
      </c>
      <c r="D239" t="str">
        <f t="shared" si="10"/>
        <v>Client239</v>
      </c>
      <c r="E239" t="str">
        <f t="shared" si="11"/>
        <v>BOB239</v>
      </c>
      <c r="F239" t="s">
        <v>20</v>
      </c>
      <c r="G239" s="11" t="s">
        <v>21</v>
      </c>
      <c r="H239" s="11">
        <v>0</v>
      </c>
      <c r="I239" s="11">
        <v>3004500</v>
      </c>
      <c r="J239" s="11">
        <v>0</v>
      </c>
      <c r="K239" s="11">
        <v>0</v>
      </c>
      <c r="L239" s="11">
        <v>8368000</v>
      </c>
      <c r="M239" s="11">
        <v>13177000</v>
      </c>
      <c r="N239" s="11">
        <v>0</v>
      </c>
    </row>
    <row r="240" spans="1:14" x14ac:dyDescent="0.3">
      <c r="A240" s="10">
        <v>46027</v>
      </c>
      <c r="B240" t="s">
        <v>19</v>
      </c>
      <c r="C240" t="str">
        <f t="shared" si="9"/>
        <v>3798512613240</v>
      </c>
      <c r="D240" t="str">
        <f t="shared" si="10"/>
        <v>Client240</v>
      </c>
      <c r="E240" t="str">
        <f t="shared" si="11"/>
        <v>BOB240</v>
      </c>
      <c r="F240" t="s">
        <v>20</v>
      </c>
      <c r="G240" s="11" t="s">
        <v>21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x14ac:dyDescent="0.3">
      <c r="A241" s="10">
        <v>46027</v>
      </c>
      <c r="B241" t="s">
        <v>19</v>
      </c>
      <c r="C241" t="str">
        <f t="shared" si="9"/>
        <v>3798512613241</v>
      </c>
      <c r="D241" t="str">
        <f t="shared" si="10"/>
        <v>Client241</v>
      </c>
      <c r="E241" t="str">
        <f t="shared" si="11"/>
        <v>BOB241</v>
      </c>
      <c r="F241" t="s">
        <v>20</v>
      </c>
      <c r="G241" s="11" t="s">
        <v>21</v>
      </c>
      <c r="H241" s="11">
        <v>0</v>
      </c>
      <c r="I241" s="11">
        <v>0</v>
      </c>
      <c r="J241" s="11">
        <v>0</v>
      </c>
      <c r="K241" s="11">
        <v>0</v>
      </c>
      <c r="L241" s="11">
        <v>51755700</v>
      </c>
      <c r="M241" s="11">
        <v>51901800</v>
      </c>
      <c r="N241" s="11">
        <v>0</v>
      </c>
    </row>
    <row r="242" spans="1:14" x14ac:dyDescent="0.3">
      <c r="A242" s="10">
        <v>46027</v>
      </c>
      <c r="B242" t="s">
        <v>19</v>
      </c>
      <c r="C242" t="str">
        <f t="shared" si="9"/>
        <v>3798512613242</v>
      </c>
      <c r="D242" t="str">
        <f t="shared" si="10"/>
        <v>Client242</v>
      </c>
      <c r="E242" t="str">
        <f t="shared" si="11"/>
        <v>BOB242</v>
      </c>
      <c r="F242" t="s">
        <v>26</v>
      </c>
      <c r="G242" s="11" t="s">
        <v>46</v>
      </c>
      <c r="H242" s="11">
        <v>0</v>
      </c>
      <c r="I242" s="11">
        <v>0</v>
      </c>
      <c r="J242" s="11">
        <v>0</v>
      </c>
      <c r="K242" s="11">
        <v>0</v>
      </c>
      <c r="L242" s="11">
        <v>2003600</v>
      </c>
      <c r="M242" s="11">
        <v>2319600</v>
      </c>
      <c r="N242" s="11">
        <v>0</v>
      </c>
    </row>
    <row r="243" spans="1:14" x14ac:dyDescent="0.3">
      <c r="A243" s="10">
        <v>46027</v>
      </c>
      <c r="B243" t="s">
        <v>19</v>
      </c>
      <c r="C243" t="str">
        <f t="shared" si="9"/>
        <v>3798512613243</v>
      </c>
      <c r="D243" t="str">
        <f t="shared" si="10"/>
        <v>Client243</v>
      </c>
      <c r="E243" t="str">
        <f t="shared" si="11"/>
        <v>BOB243</v>
      </c>
      <c r="F243" t="s">
        <v>20</v>
      </c>
      <c r="G243" s="11" t="s">
        <v>21</v>
      </c>
      <c r="H243" s="11">
        <v>0</v>
      </c>
      <c r="I243" s="11">
        <v>0</v>
      </c>
      <c r="J243" s="11">
        <v>0</v>
      </c>
      <c r="K243" s="11">
        <v>0</v>
      </c>
      <c r="L243" s="11">
        <v>430000</v>
      </c>
      <c r="M243" s="11">
        <v>537000</v>
      </c>
      <c r="N243" s="11">
        <v>0</v>
      </c>
    </row>
    <row r="244" spans="1:14" x14ac:dyDescent="0.3">
      <c r="A244" s="10">
        <v>46027</v>
      </c>
      <c r="B244" t="s">
        <v>19</v>
      </c>
      <c r="C244" t="str">
        <f t="shared" si="9"/>
        <v>3798512613244</v>
      </c>
      <c r="D244" t="str">
        <f t="shared" si="10"/>
        <v>Client244</v>
      </c>
      <c r="E244" t="str">
        <f t="shared" si="11"/>
        <v>BOB244</v>
      </c>
      <c r="G244" s="11"/>
      <c r="H244" s="11">
        <v>0</v>
      </c>
      <c r="I244" s="11">
        <v>0</v>
      </c>
      <c r="J244" s="11">
        <v>12800000</v>
      </c>
      <c r="K244" s="11">
        <v>5000000</v>
      </c>
      <c r="L244" s="11">
        <v>71391800</v>
      </c>
      <c r="M244" s="11">
        <v>62313800</v>
      </c>
      <c r="N244" s="11">
        <v>0</v>
      </c>
    </row>
    <row r="245" spans="1:14" x14ac:dyDescent="0.3">
      <c r="A245" s="10">
        <v>46027</v>
      </c>
      <c r="B245" t="s">
        <v>19</v>
      </c>
      <c r="C245" t="str">
        <f t="shared" si="9"/>
        <v>3798512613245</v>
      </c>
      <c r="D245" t="str">
        <f t="shared" si="10"/>
        <v>Client245</v>
      </c>
      <c r="E245" t="str">
        <f t="shared" si="11"/>
        <v>BOB245</v>
      </c>
      <c r="F245" t="s">
        <v>22</v>
      </c>
      <c r="G245" s="11" t="s">
        <v>23</v>
      </c>
      <c r="H245" s="11">
        <v>0</v>
      </c>
      <c r="I245" s="11">
        <v>0</v>
      </c>
      <c r="J245" s="11">
        <v>0</v>
      </c>
      <c r="K245" s="11">
        <v>2402400</v>
      </c>
      <c r="L245" s="11">
        <v>2230100</v>
      </c>
      <c r="M245" s="11">
        <v>4684500</v>
      </c>
      <c r="N245" s="11">
        <v>0</v>
      </c>
    </row>
    <row r="246" spans="1:14" x14ac:dyDescent="0.3">
      <c r="A246" s="10">
        <v>46027</v>
      </c>
      <c r="B246" t="s">
        <v>19</v>
      </c>
      <c r="C246" t="str">
        <f t="shared" si="9"/>
        <v>3798512613246</v>
      </c>
      <c r="D246" t="str">
        <f t="shared" si="10"/>
        <v>Client246</v>
      </c>
      <c r="E246" t="str">
        <f t="shared" si="11"/>
        <v>BOB246</v>
      </c>
      <c r="F246" t="s">
        <v>22</v>
      </c>
      <c r="G246" s="11" t="s">
        <v>23</v>
      </c>
      <c r="H246" s="11">
        <v>0</v>
      </c>
      <c r="I246" s="11">
        <v>0</v>
      </c>
      <c r="J246" s="11">
        <v>0</v>
      </c>
      <c r="K246" s="11">
        <v>5000000</v>
      </c>
      <c r="L246" s="11">
        <v>15214800</v>
      </c>
      <c r="M246" s="11">
        <v>19839200</v>
      </c>
      <c r="N246" s="11">
        <v>0</v>
      </c>
    </row>
    <row r="247" spans="1:14" x14ac:dyDescent="0.3">
      <c r="A247" s="10">
        <v>46027</v>
      </c>
      <c r="B247" t="s">
        <v>19</v>
      </c>
      <c r="C247" t="str">
        <f t="shared" si="9"/>
        <v>3798512613247</v>
      </c>
      <c r="D247" t="str">
        <f t="shared" si="10"/>
        <v>Client247</v>
      </c>
      <c r="E247" t="str">
        <f t="shared" si="11"/>
        <v>BOB247</v>
      </c>
      <c r="F247" t="s">
        <v>24</v>
      </c>
      <c r="G247" s="11" t="s">
        <v>21</v>
      </c>
      <c r="H247" s="11">
        <v>0</v>
      </c>
      <c r="I247" s="11">
        <v>0</v>
      </c>
      <c r="J247" s="11">
        <v>0</v>
      </c>
      <c r="K247" s="11">
        <v>0</v>
      </c>
      <c r="L247" s="11">
        <v>8606400</v>
      </c>
      <c r="M247" s="11">
        <v>10819200</v>
      </c>
      <c r="N247" s="11">
        <v>0</v>
      </c>
    </row>
    <row r="248" spans="1:14" x14ac:dyDescent="0.3">
      <c r="A248" s="10">
        <v>46027</v>
      </c>
      <c r="B248" t="s">
        <v>19</v>
      </c>
      <c r="C248" t="str">
        <f t="shared" si="9"/>
        <v>3798512613248</v>
      </c>
      <c r="D248" t="str">
        <f t="shared" si="10"/>
        <v>Client248</v>
      </c>
      <c r="E248" t="str">
        <f t="shared" si="11"/>
        <v>BOB248</v>
      </c>
      <c r="F248" t="s">
        <v>25</v>
      </c>
      <c r="G248" s="11" t="s">
        <v>21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</row>
    <row r="249" spans="1:14" x14ac:dyDescent="0.3">
      <c r="A249" s="10">
        <v>46027</v>
      </c>
      <c r="B249" t="s">
        <v>19</v>
      </c>
      <c r="C249" t="str">
        <f t="shared" si="9"/>
        <v>3798512613249</v>
      </c>
      <c r="D249" t="str">
        <f t="shared" si="10"/>
        <v>Client249</v>
      </c>
      <c r="E249" t="str">
        <f t="shared" si="11"/>
        <v>BOB249</v>
      </c>
      <c r="F249" t="s">
        <v>26</v>
      </c>
      <c r="G249" s="11" t="s">
        <v>53</v>
      </c>
      <c r="H249" s="11">
        <v>0</v>
      </c>
      <c r="I249" s="11">
        <v>0</v>
      </c>
      <c r="J249" s="11">
        <v>0</v>
      </c>
      <c r="K249" s="11">
        <v>0</v>
      </c>
      <c r="L249" s="11">
        <v>2991100</v>
      </c>
      <c r="M249" s="11">
        <v>3584500</v>
      </c>
      <c r="N249" s="11">
        <v>0</v>
      </c>
    </row>
    <row r="250" spans="1:14" x14ac:dyDescent="0.3">
      <c r="A250" s="10">
        <v>46027</v>
      </c>
      <c r="B250" t="s">
        <v>19</v>
      </c>
      <c r="C250" t="str">
        <f t="shared" si="9"/>
        <v>3798512613250</v>
      </c>
      <c r="D250" t="str">
        <f t="shared" si="10"/>
        <v>Client250</v>
      </c>
      <c r="E250" t="str">
        <f t="shared" si="11"/>
        <v>BOB250</v>
      </c>
      <c r="F250" t="s">
        <v>20</v>
      </c>
      <c r="G250" s="11" t="s">
        <v>21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184300</v>
      </c>
      <c r="N250" s="11">
        <v>0</v>
      </c>
    </row>
    <row r="251" spans="1:14" x14ac:dyDescent="0.3">
      <c r="A251" s="10">
        <v>46027</v>
      </c>
      <c r="B251" t="s">
        <v>19</v>
      </c>
      <c r="C251" t="str">
        <f t="shared" si="9"/>
        <v>3798512613251</v>
      </c>
      <c r="D251" t="str">
        <f t="shared" si="10"/>
        <v>Client251</v>
      </c>
      <c r="E251" t="str">
        <f t="shared" si="11"/>
        <v>BOB251</v>
      </c>
      <c r="F251" t="s">
        <v>20</v>
      </c>
      <c r="G251" s="11" t="s">
        <v>21</v>
      </c>
      <c r="H251" s="11">
        <v>0</v>
      </c>
      <c r="I251" s="11">
        <v>0</v>
      </c>
      <c r="J251" s="11">
        <v>70000</v>
      </c>
      <c r="K251" s="11">
        <v>0</v>
      </c>
      <c r="L251" s="11">
        <v>14118100</v>
      </c>
      <c r="M251" s="11">
        <v>18209700</v>
      </c>
      <c r="N251" s="11">
        <v>0</v>
      </c>
    </row>
    <row r="252" spans="1:14" x14ac:dyDescent="0.3">
      <c r="A252" s="10">
        <v>46027</v>
      </c>
      <c r="B252" t="s">
        <v>19</v>
      </c>
      <c r="C252" t="str">
        <f t="shared" si="9"/>
        <v>3798512613252</v>
      </c>
      <c r="D252" t="str">
        <f t="shared" si="10"/>
        <v>Client252</v>
      </c>
      <c r="E252" t="str">
        <f t="shared" si="11"/>
        <v>BOB252</v>
      </c>
      <c r="F252" t="s">
        <v>24</v>
      </c>
      <c r="G252" s="11" t="s">
        <v>21</v>
      </c>
      <c r="H252" s="11">
        <v>0</v>
      </c>
      <c r="I252" s="11">
        <v>0</v>
      </c>
      <c r="J252" s="11">
        <v>0</v>
      </c>
      <c r="K252" s="11">
        <v>0</v>
      </c>
      <c r="L252" s="11">
        <v>15464900</v>
      </c>
      <c r="M252" s="11">
        <v>18760200</v>
      </c>
      <c r="N252" s="11">
        <v>0</v>
      </c>
    </row>
    <row r="253" spans="1:14" x14ac:dyDescent="0.3">
      <c r="A253" s="10">
        <v>46027</v>
      </c>
      <c r="B253" t="s">
        <v>19</v>
      </c>
      <c r="C253" t="str">
        <f t="shared" si="9"/>
        <v>3798512613253</v>
      </c>
      <c r="D253" t="str">
        <f t="shared" si="10"/>
        <v>Client253</v>
      </c>
      <c r="E253" t="str">
        <f t="shared" si="11"/>
        <v>BOB253</v>
      </c>
      <c r="F253" t="s">
        <v>25</v>
      </c>
      <c r="G253" s="11" t="s">
        <v>21</v>
      </c>
      <c r="H253" s="11">
        <v>0</v>
      </c>
      <c r="I253" s="11">
        <v>0</v>
      </c>
      <c r="J253" s="11">
        <v>6981000</v>
      </c>
      <c r="K253" s="11">
        <v>910000</v>
      </c>
      <c r="L253" s="11">
        <v>15609400</v>
      </c>
      <c r="M253" s="11">
        <v>8796000</v>
      </c>
      <c r="N253" s="11">
        <v>0</v>
      </c>
    </row>
    <row r="254" spans="1:14" x14ac:dyDescent="0.3">
      <c r="A254" s="10">
        <v>46027</v>
      </c>
      <c r="B254" t="s">
        <v>19</v>
      </c>
      <c r="C254" t="str">
        <f t="shared" si="9"/>
        <v>3798512613254</v>
      </c>
      <c r="D254" t="str">
        <f t="shared" si="10"/>
        <v>Client254</v>
      </c>
      <c r="E254" t="str">
        <f t="shared" si="11"/>
        <v>BOB254</v>
      </c>
      <c r="F254" t="s">
        <v>25</v>
      </c>
      <c r="G254" s="11" t="s">
        <v>21</v>
      </c>
      <c r="H254" s="11">
        <v>0</v>
      </c>
      <c r="I254" s="11">
        <v>0</v>
      </c>
      <c r="J254" s="11">
        <v>8000000</v>
      </c>
      <c r="K254" s="11">
        <v>700000</v>
      </c>
      <c r="L254" s="11">
        <v>15359100</v>
      </c>
      <c r="M254" s="11">
        <v>7906400</v>
      </c>
      <c r="N254" s="11">
        <v>0</v>
      </c>
    </row>
    <row r="255" spans="1:14" x14ac:dyDescent="0.3">
      <c r="A255" s="10">
        <v>46027</v>
      </c>
      <c r="B255" t="s">
        <v>19</v>
      </c>
      <c r="C255" t="str">
        <f t="shared" si="9"/>
        <v>3798512613255</v>
      </c>
      <c r="D255" t="str">
        <f t="shared" si="10"/>
        <v>Client255</v>
      </c>
      <c r="E255" t="str">
        <f t="shared" si="11"/>
        <v>BOB255</v>
      </c>
      <c r="F255" t="s">
        <v>24</v>
      </c>
      <c r="G255" s="11" t="s">
        <v>21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23100</v>
      </c>
      <c r="N255" s="11">
        <v>0</v>
      </c>
    </row>
    <row r="256" spans="1:14" x14ac:dyDescent="0.3">
      <c r="A256" s="10">
        <v>46027</v>
      </c>
      <c r="B256" t="s">
        <v>19</v>
      </c>
      <c r="C256" t="str">
        <f t="shared" si="9"/>
        <v>3798512613256</v>
      </c>
      <c r="D256" t="str">
        <f t="shared" si="10"/>
        <v>Client256</v>
      </c>
      <c r="E256" t="str">
        <f t="shared" si="11"/>
        <v>BOB256</v>
      </c>
      <c r="F256" t="s">
        <v>26</v>
      </c>
      <c r="G256" s="11" t="s">
        <v>65</v>
      </c>
      <c r="H256" s="11">
        <v>0</v>
      </c>
      <c r="I256" s="11">
        <v>0</v>
      </c>
      <c r="J256" s="11">
        <v>0</v>
      </c>
      <c r="K256" s="11">
        <v>1356000</v>
      </c>
      <c r="L256" s="11">
        <v>127500</v>
      </c>
      <c r="M256" s="11">
        <v>677500</v>
      </c>
      <c r="N256" s="11">
        <v>0</v>
      </c>
    </row>
    <row r="257" spans="1:14" x14ac:dyDescent="0.3">
      <c r="A257" s="10">
        <v>46027</v>
      </c>
      <c r="B257" t="s">
        <v>19</v>
      </c>
      <c r="C257" t="str">
        <f t="shared" si="9"/>
        <v>3798512613257</v>
      </c>
      <c r="D257" t="str">
        <f t="shared" si="10"/>
        <v>Client257</v>
      </c>
      <c r="E257" t="str">
        <f t="shared" si="11"/>
        <v>BOB257</v>
      </c>
      <c r="F257" t="s">
        <v>26</v>
      </c>
      <c r="G257" s="11" t="s">
        <v>21</v>
      </c>
      <c r="H257" s="11">
        <v>0</v>
      </c>
      <c r="I257" s="11">
        <v>0</v>
      </c>
      <c r="J257" s="11">
        <v>0</v>
      </c>
      <c r="K257" s="11">
        <v>2003000</v>
      </c>
      <c r="L257" s="11">
        <v>6892700</v>
      </c>
      <c r="M257" s="11">
        <v>16342100</v>
      </c>
      <c r="N257" s="11">
        <v>0</v>
      </c>
    </row>
    <row r="258" spans="1:14" x14ac:dyDescent="0.3">
      <c r="A258" s="10">
        <v>46027</v>
      </c>
      <c r="B258" t="s">
        <v>19</v>
      </c>
      <c r="C258" t="str">
        <f t="shared" si="9"/>
        <v>3798512613258</v>
      </c>
      <c r="D258" t="str">
        <f t="shared" si="10"/>
        <v>Client258</v>
      </c>
      <c r="E258" t="str">
        <f t="shared" si="11"/>
        <v>BOB258</v>
      </c>
      <c r="G258" s="11"/>
      <c r="H258" s="11">
        <v>0</v>
      </c>
      <c r="I258" s="11">
        <v>0</v>
      </c>
      <c r="J258" s="11">
        <v>0</v>
      </c>
      <c r="K258" s="11">
        <v>0</v>
      </c>
      <c r="L258" s="11">
        <v>303600</v>
      </c>
      <c r="M258" s="11">
        <v>692000</v>
      </c>
      <c r="N258" s="11">
        <v>0</v>
      </c>
    </row>
    <row r="259" spans="1:14" x14ac:dyDescent="0.3">
      <c r="A259" s="10">
        <v>46027</v>
      </c>
      <c r="B259" t="s">
        <v>19</v>
      </c>
      <c r="C259" t="str">
        <f t="shared" ref="C259:C322" si="12" xml:space="preserve"> "3798512613" &amp; ROW()</f>
        <v>3798512613259</v>
      </c>
      <c r="D259" t="str">
        <f t="shared" ref="D259:D322" si="13">"Client"&amp;ROW()</f>
        <v>Client259</v>
      </c>
      <c r="E259" t="str">
        <f t="shared" ref="E259:E322" si="14">"BOB"&amp;ROW()</f>
        <v>BOB259</v>
      </c>
      <c r="F259" t="s">
        <v>26</v>
      </c>
      <c r="G259" s="11" t="s">
        <v>47</v>
      </c>
      <c r="H259" s="11">
        <v>0</v>
      </c>
      <c r="I259" s="11">
        <v>0</v>
      </c>
      <c r="J259" s="11">
        <v>0</v>
      </c>
      <c r="K259" s="11">
        <v>0</v>
      </c>
      <c r="L259" s="11">
        <v>2070000</v>
      </c>
      <c r="M259" s="11">
        <v>2353900</v>
      </c>
      <c r="N259" s="11">
        <v>0</v>
      </c>
    </row>
    <row r="260" spans="1:14" x14ac:dyDescent="0.3">
      <c r="A260" s="10">
        <v>46027</v>
      </c>
      <c r="B260" t="s">
        <v>19</v>
      </c>
      <c r="C260" t="str">
        <f t="shared" si="12"/>
        <v>3798512613260</v>
      </c>
      <c r="D260" t="str">
        <f t="shared" si="13"/>
        <v>Client260</v>
      </c>
      <c r="E260" t="str">
        <f t="shared" si="14"/>
        <v>BOB260</v>
      </c>
      <c r="F260" t="s">
        <v>22</v>
      </c>
      <c r="G260" s="11" t="s">
        <v>23</v>
      </c>
      <c r="H260" s="11">
        <v>0</v>
      </c>
      <c r="I260" s="11">
        <v>0</v>
      </c>
      <c r="J260" s="11">
        <v>0</v>
      </c>
      <c r="K260" s="11">
        <v>300300</v>
      </c>
      <c r="L260" s="11">
        <v>147100</v>
      </c>
      <c r="M260" s="11">
        <v>317000</v>
      </c>
      <c r="N260" s="11">
        <v>0</v>
      </c>
    </row>
    <row r="261" spans="1:14" x14ac:dyDescent="0.3">
      <c r="A261" s="10">
        <v>46027</v>
      </c>
      <c r="B261" t="s">
        <v>19</v>
      </c>
      <c r="C261" t="str">
        <f t="shared" si="12"/>
        <v>3798512613261</v>
      </c>
      <c r="D261" t="str">
        <f t="shared" si="13"/>
        <v>Client261</v>
      </c>
      <c r="E261" t="str">
        <f t="shared" si="14"/>
        <v>BOB261</v>
      </c>
      <c r="F261" t="s">
        <v>25</v>
      </c>
      <c r="G261" s="11" t="s">
        <v>21</v>
      </c>
      <c r="H261" s="11">
        <v>0</v>
      </c>
      <c r="I261" s="11">
        <v>0</v>
      </c>
      <c r="J261" s="11">
        <v>0</v>
      </c>
      <c r="K261" s="11">
        <v>2000000</v>
      </c>
      <c r="L261" s="11">
        <v>4156800</v>
      </c>
      <c r="M261" s="11">
        <v>5576100</v>
      </c>
      <c r="N261" s="11">
        <v>0</v>
      </c>
    </row>
    <row r="262" spans="1:14" x14ac:dyDescent="0.3">
      <c r="A262" s="10">
        <v>46027</v>
      </c>
      <c r="B262" t="s">
        <v>19</v>
      </c>
      <c r="C262" t="str">
        <f t="shared" si="12"/>
        <v>3798512613262</v>
      </c>
      <c r="D262" t="str">
        <f t="shared" si="13"/>
        <v>Client262</v>
      </c>
      <c r="E262" t="str">
        <f t="shared" si="14"/>
        <v>BOB262</v>
      </c>
      <c r="F262" t="s">
        <v>20</v>
      </c>
      <c r="G262" s="11" t="s">
        <v>21</v>
      </c>
      <c r="H262" s="11">
        <v>0</v>
      </c>
      <c r="I262" s="11">
        <v>0</v>
      </c>
      <c r="J262" s="11">
        <v>0</v>
      </c>
      <c r="K262" s="11">
        <v>300000</v>
      </c>
      <c r="L262" s="11">
        <v>463900</v>
      </c>
      <c r="M262" s="11">
        <v>799000</v>
      </c>
      <c r="N262" s="11">
        <v>0</v>
      </c>
    </row>
    <row r="263" spans="1:14" x14ac:dyDescent="0.3">
      <c r="A263" s="10">
        <v>46027</v>
      </c>
      <c r="B263" t="s">
        <v>19</v>
      </c>
      <c r="C263" t="str">
        <f t="shared" si="12"/>
        <v>3798512613263</v>
      </c>
      <c r="D263" t="str">
        <f t="shared" si="13"/>
        <v>Client263</v>
      </c>
      <c r="E263" t="str">
        <f t="shared" si="14"/>
        <v>BOB263</v>
      </c>
      <c r="G263" s="11"/>
      <c r="H263" s="11">
        <v>0</v>
      </c>
      <c r="I263" s="11">
        <v>0</v>
      </c>
      <c r="J263" s="11">
        <v>0</v>
      </c>
      <c r="K263" s="11">
        <v>0</v>
      </c>
      <c r="L263" s="11">
        <v>1948400</v>
      </c>
      <c r="M263" s="11">
        <v>4261500</v>
      </c>
      <c r="N263" s="11">
        <v>0</v>
      </c>
    </row>
    <row r="264" spans="1:14" x14ac:dyDescent="0.3">
      <c r="A264" s="10">
        <v>46027</v>
      </c>
      <c r="B264" t="s">
        <v>19</v>
      </c>
      <c r="C264" t="str">
        <f t="shared" si="12"/>
        <v>3798512613264</v>
      </c>
      <c r="D264" t="str">
        <f t="shared" si="13"/>
        <v>Client264</v>
      </c>
      <c r="E264" t="str">
        <f t="shared" si="14"/>
        <v>BOB264</v>
      </c>
      <c r="F264" t="s">
        <v>24</v>
      </c>
      <c r="G264" s="11" t="s">
        <v>21</v>
      </c>
      <c r="H264" s="11">
        <v>0</v>
      </c>
      <c r="I264" s="11">
        <v>0</v>
      </c>
      <c r="J264" s="11">
        <v>0</v>
      </c>
      <c r="K264" s="11">
        <v>0</v>
      </c>
      <c r="L264" s="11">
        <v>75200</v>
      </c>
      <c r="M264" s="11">
        <v>88000</v>
      </c>
      <c r="N264" s="11">
        <v>0</v>
      </c>
    </row>
    <row r="265" spans="1:14" x14ac:dyDescent="0.3">
      <c r="A265" s="10">
        <v>46027</v>
      </c>
      <c r="B265" t="s">
        <v>19</v>
      </c>
      <c r="C265" t="str">
        <f t="shared" si="12"/>
        <v>3798512613265</v>
      </c>
      <c r="D265" t="str">
        <f t="shared" si="13"/>
        <v>Client265</v>
      </c>
      <c r="E265" t="str">
        <f t="shared" si="14"/>
        <v>BOB265</v>
      </c>
      <c r="F265" t="s">
        <v>24</v>
      </c>
      <c r="G265" s="11" t="s">
        <v>21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x14ac:dyDescent="0.3">
      <c r="A266" s="10">
        <v>46027</v>
      </c>
      <c r="B266" t="s">
        <v>19</v>
      </c>
      <c r="C266" t="str">
        <f t="shared" si="12"/>
        <v>3798512613266</v>
      </c>
      <c r="D266" t="str">
        <f t="shared" si="13"/>
        <v>Client266</v>
      </c>
      <c r="E266" t="str">
        <f t="shared" si="14"/>
        <v>BOB266</v>
      </c>
      <c r="F266" t="s">
        <v>25</v>
      </c>
      <c r="G266" s="11" t="s">
        <v>21</v>
      </c>
      <c r="H266" s="11">
        <v>0</v>
      </c>
      <c r="I266" s="11">
        <v>1204000</v>
      </c>
      <c r="J266" s="11">
        <v>0</v>
      </c>
      <c r="K266" s="11">
        <v>0</v>
      </c>
      <c r="L266" s="11">
        <v>11561100</v>
      </c>
      <c r="M266" s="11">
        <v>12346900</v>
      </c>
      <c r="N266" s="11">
        <v>0</v>
      </c>
    </row>
    <row r="267" spans="1:14" x14ac:dyDescent="0.3">
      <c r="A267" s="10">
        <v>46027</v>
      </c>
      <c r="B267" t="s">
        <v>19</v>
      </c>
      <c r="C267" t="str">
        <f t="shared" si="12"/>
        <v>3798512613267</v>
      </c>
      <c r="D267" t="str">
        <f t="shared" si="13"/>
        <v>Client267</v>
      </c>
      <c r="E267" t="str">
        <f t="shared" si="14"/>
        <v>BOB267</v>
      </c>
      <c r="F267" t="s">
        <v>22</v>
      </c>
      <c r="G267" s="11" t="s">
        <v>23</v>
      </c>
      <c r="H267" s="11">
        <v>0</v>
      </c>
      <c r="I267" s="11">
        <v>0</v>
      </c>
      <c r="J267" s="11">
        <v>0</v>
      </c>
      <c r="K267" s="11">
        <v>700700</v>
      </c>
      <c r="L267" s="11">
        <v>1860800</v>
      </c>
      <c r="M267" s="11">
        <v>2449300</v>
      </c>
      <c r="N267" s="11">
        <v>0</v>
      </c>
    </row>
    <row r="268" spans="1:14" x14ac:dyDescent="0.3">
      <c r="A268" s="10">
        <v>46027</v>
      </c>
      <c r="B268" t="s">
        <v>19</v>
      </c>
      <c r="C268" t="str">
        <f t="shared" si="12"/>
        <v>3798512613268</v>
      </c>
      <c r="D268" t="str">
        <f t="shared" si="13"/>
        <v>Client268</v>
      </c>
      <c r="E268" t="str">
        <f t="shared" si="14"/>
        <v>BOB268</v>
      </c>
      <c r="F268" t="s">
        <v>25</v>
      </c>
      <c r="G268" s="11" t="s">
        <v>21</v>
      </c>
      <c r="H268" s="11">
        <v>0</v>
      </c>
      <c r="I268" s="11">
        <v>1503000</v>
      </c>
      <c r="J268" s="11">
        <v>0</v>
      </c>
      <c r="K268" s="11">
        <v>0</v>
      </c>
      <c r="L268" s="11">
        <v>11828500</v>
      </c>
      <c r="M268" s="11">
        <v>13473100</v>
      </c>
      <c r="N268" s="11">
        <v>0</v>
      </c>
    </row>
    <row r="269" spans="1:14" x14ac:dyDescent="0.3">
      <c r="A269" s="10">
        <v>46027</v>
      </c>
      <c r="B269" t="s">
        <v>19</v>
      </c>
      <c r="C269" t="str">
        <f t="shared" si="12"/>
        <v>3798512613269</v>
      </c>
      <c r="D269" t="str">
        <f t="shared" si="13"/>
        <v>Client269</v>
      </c>
      <c r="E269" t="str">
        <f t="shared" si="14"/>
        <v>BOB269</v>
      </c>
      <c r="F269" t="s">
        <v>25</v>
      </c>
      <c r="G269" s="11" t="s">
        <v>21</v>
      </c>
      <c r="H269" s="11">
        <v>0</v>
      </c>
      <c r="I269" s="11">
        <v>0</v>
      </c>
      <c r="J269" s="11">
        <v>0</v>
      </c>
      <c r="K269" s="11">
        <v>0</v>
      </c>
      <c r="L269" s="11">
        <v>660000</v>
      </c>
      <c r="M269" s="11">
        <v>4825100</v>
      </c>
      <c r="N269" s="11">
        <v>0</v>
      </c>
    </row>
    <row r="270" spans="1:14" x14ac:dyDescent="0.3">
      <c r="A270" s="10">
        <v>46027</v>
      </c>
      <c r="B270" t="s">
        <v>19</v>
      </c>
      <c r="C270" t="str">
        <f t="shared" si="12"/>
        <v>3798512613270</v>
      </c>
      <c r="D270" t="str">
        <f t="shared" si="13"/>
        <v>Client270</v>
      </c>
      <c r="E270" t="str">
        <f t="shared" si="14"/>
        <v>BOB270</v>
      </c>
      <c r="G270" s="11"/>
      <c r="H270" s="11">
        <v>0</v>
      </c>
      <c r="I270" s="11">
        <v>0</v>
      </c>
      <c r="J270" s="11">
        <v>0</v>
      </c>
      <c r="K270" s="11">
        <v>0</v>
      </c>
      <c r="L270" s="11">
        <v>7956500</v>
      </c>
      <c r="M270" s="11">
        <v>8458900</v>
      </c>
      <c r="N270" s="11">
        <v>0</v>
      </c>
    </row>
    <row r="271" spans="1:14" x14ac:dyDescent="0.3">
      <c r="A271" s="10">
        <v>46027</v>
      </c>
      <c r="B271" t="s">
        <v>19</v>
      </c>
      <c r="C271" t="str">
        <f t="shared" si="12"/>
        <v>3798512613271</v>
      </c>
      <c r="D271" t="str">
        <f t="shared" si="13"/>
        <v>Client271</v>
      </c>
      <c r="E271" t="str">
        <f t="shared" si="14"/>
        <v>BOB271</v>
      </c>
      <c r="G271" s="11"/>
      <c r="H271" s="11">
        <v>0</v>
      </c>
      <c r="I271" s="11">
        <v>0</v>
      </c>
      <c r="J271" s="11">
        <v>0</v>
      </c>
      <c r="K271" s="11">
        <v>0</v>
      </c>
      <c r="L271" s="11">
        <v>11916900</v>
      </c>
      <c r="M271" s="11">
        <v>16020300</v>
      </c>
      <c r="N271" s="11">
        <v>0</v>
      </c>
    </row>
    <row r="272" spans="1:14" x14ac:dyDescent="0.3">
      <c r="A272" s="10">
        <v>46027</v>
      </c>
      <c r="B272" t="s">
        <v>19</v>
      </c>
      <c r="C272" t="str">
        <f t="shared" si="12"/>
        <v>3798512613272</v>
      </c>
      <c r="D272" t="str">
        <f t="shared" si="13"/>
        <v>Client272</v>
      </c>
      <c r="E272" t="str">
        <f t="shared" si="14"/>
        <v>BOB272</v>
      </c>
      <c r="G272" s="11"/>
      <c r="H272" s="11">
        <v>0</v>
      </c>
      <c r="I272" s="11">
        <v>0</v>
      </c>
      <c r="J272" s="11">
        <v>0</v>
      </c>
      <c r="K272" s="11">
        <v>0</v>
      </c>
      <c r="L272" s="11">
        <v>1263300</v>
      </c>
      <c r="M272" s="11">
        <v>1616700</v>
      </c>
      <c r="N272" s="11">
        <v>0</v>
      </c>
    </row>
    <row r="273" spans="1:14" x14ac:dyDescent="0.3">
      <c r="A273" s="10">
        <v>46027</v>
      </c>
      <c r="B273" t="s">
        <v>19</v>
      </c>
      <c r="C273" t="str">
        <f t="shared" si="12"/>
        <v>3798512613273</v>
      </c>
      <c r="D273" t="str">
        <f t="shared" si="13"/>
        <v>Client273</v>
      </c>
      <c r="E273" t="str">
        <f t="shared" si="14"/>
        <v>BOB273</v>
      </c>
      <c r="F273" t="s">
        <v>24</v>
      </c>
      <c r="G273" s="11" t="s">
        <v>21</v>
      </c>
      <c r="H273" s="11">
        <v>0</v>
      </c>
      <c r="I273" s="11">
        <v>0</v>
      </c>
      <c r="J273" s="11">
        <v>0</v>
      </c>
      <c r="K273" s="11">
        <v>1500000</v>
      </c>
      <c r="L273" s="11">
        <v>2581800</v>
      </c>
      <c r="M273" s="11">
        <v>4514700</v>
      </c>
      <c r="N273" s="11">
        <v>0</v>
      </c>
    </row>
    <row r="274" spans="1:14" x14ac:dyDescent="0.3">
      <c r="A274" s="10">
        <v>46027</v>
      </c>
      <c r="B274" t="s">
        <v>19</v>
      </c>
      <c r="C274" t="str">
        <f t="shared" si="12"/>
        <v>3798512613274</v>
      </c>
      <c r="D274" t="str">
        <f t="shared" si="13"/>
        <v>Client274</v>
      </c>
      <c r="E274" t="str">
        <f t="shared" si="14"/>
        <v>BOB274</v>
      </c>
      <c r="F274" t="s">
        <v>24</v>
      </c>
      <c r="G274" s="11" t="s">
        <v>21</v>
      </c>
      <c r="H274" s="11">
        <v>0</v>
      </c>
      <c r="I274" s="11">
        <v>0</v>
      </c>
      <c r="J274" s="11">
        <v>9000000</v>
      </c>
      <c r="K274" s="11">
        <v>3004500</v>
      </c>
      <c r="L274" s="11">
        <v>45917100</v>
      </c>
      <c r="M274" s="11">
        <v>40728900</v>
      </c>
      <c r="N274" s="11">
        <v>0</v>
      </c>
    </row>
    <row r="275" spans="1:14" x14ac:dyDescent="0.3">
      <c r="A275" s="10">
        <v>46027</v>
      </c>
      <c r="B275" t="s">
        <v>19</v>
      </c>
      <c r="C275" t="str">
        <f t="shared" si="12"/>
        <v>3798512613275</v>
      </c>
      <c r="D275" t="str">
        <f t="shared" si="13"/>
        <v>Client275</v>
      </c>
      <c r="E275" t="str">
        <f t="shared" si="14"/>
        <v>BOB275</v>
      </c>
      <c r="F275" t="s">
        <v>25</v>
      </c>
      <c r="G275" s="11" t="s">
        <v>21</v>
      </c>
      <c r="H275" s="11">
        <v>0</v>
      </c>
      <c r="I275" s="11">
        <v>0</v>
      </c>
      <c r="J275" s="11">
        <v>0</v>
      </c>
      <c r="K275" s="11">
        <v>3000000</v>
      </c>
      <c r="L275" s="11">
        <v>5941300</v>
      </c>
      <c r="M275" s="11">
        <v>10479900</v>
      </c>
      <c r="N275" s="11">
        <v>0</v>
      </c>
    </row>
    <row r="276" spans="1:14" x14ac:dyDescent="0.3">
      <c r="A276" s="10">
        <v>46027</v>
      </c>
      <c r="B276" t="s">
        <v>19</v>
      </c>
      <c r="C276" t="str">
        <f t="shared" si="12"/>
        <v>3798512613276</v>
      </c>
      <c r="D276" t="str">
        <f t="shared" si="13"/>
        <v>Client276</v>
      </c>
      <c r="E276" t="str">
        <f t="shared" si="14"/>
        <v>BOB276</v>
      </c>
      <c r="F276" t="s">
        <v>26</v>
      </c>
      <c r="G276" s="11" t="s">
        <v>66</v>
      </c>
      <c r="H276" s="11">
        <v>0</v>
      </c>
      <c r="I276" s="11">
        <v>0</v>
      </c>
      <c r="J276" s="11">
        <v>0</v>
      </c>
      <c r="K276" s="11">
        <v>0</v>
      </c>
      <c r="L276" s="11">
        <v>4211800</v>
      </c>
      <c r="M276" s="11">
        <v>4059600</v>
      </c>
      <c r="N276" s="11">
        <v>0</v>
      </c>
    </row>
    <row r="277" spans="1:14" x14ac:dyDescent="0.3">
      <c r="A277" s="10">
        <v>46027</v>
      </c>
      <c r="B277" t="s">
        <v>19</v>
      </c>
      <c r="C277" t="str">
        <f t="shared" si="12"/>
        <v>3798512613277</v>
      </c>
      <c r="D277" t="str">
        <f t="shared" si="13"/>
        <v>Client277</v>
      </c>
      <c r="E277" t="str">
        <f t="shared" si="14"/>
        <v>BOB277</v>
      </c>
      <c r="F277" t="s">
        <v>20</v>
      </c>
      <c r="G277" s="11" t="s">
        <v>21</v>
      </c>
      <c r="H277" s="11">
        <v>0</v>
      </c>
      <c r="I277" s="11">
        <v>30045000</v>
      </c>
      <c r="J277" s="11">
        <v>4994000</v>
      </c>
      <c r="K277" s="11">
        <v>0</v>
      </c>
      <c r="L277" s="11">
        <v>58021400</v>
      </c>
      <c r="M277" s="11">
        <v>78535300</v>
      </c>
      <c r="N277" s="11">
        <v>0</v>
      </c>
    </row>
    <row r="278" spans="1:14" x14ac:dyDescent="0.3">
      <c r="A278" s="10">
        <v>46027</v>
      </c>
      <c r="B278" t="s">
        <v>19</v>
      </c>
      <c r="C278" t="str">
        <f t="shared" si="12"/>
        <v>3798512613278</v>
      </c>
      <c r="D278" t="str">
        <f t="shared" si="13"/>
        <v>Client278</v>
      </c>
      <c r="E278" t="str">
        <f t="shared" si="14"/>
        <v>BOB278</v>
      </c>
      <c r="G278" s="11"/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</row>
    <row r="279" spans="1:14" x14ac:dyDescent="0.3">
      <c r="A279" s="10">
        <v>46027</v>
      </c>
      <c r="B279" t="s">
        <v>19</v>
      </c>
      <c r="C279" t="str">
        <f t="shared" si="12"/>
        <v>3798512613279</v>
      </c>
      <c r="D279" t="str">
        <f t="shared" si="13"/>
        <v>Client279</v>
      </c>
      <c r="E279" t="str">
        <f t="shared" si="14"/>
        <v>BOB279</v>
      </c>
      <c r="F279" t="s">
        <v>24</v>
      </c>
      <c r="G279" s="11" t="s">
        <v>21</v>
      </c>
      <c r="H279" s="11">
        <v>0</v>
      </c>
      <c r="I279" s="11">
        <v>0</v>
      </c>
      <c r="J279" s="11">
        <v>0</v>
      </c>
      <c r="K279" s="11">
        <v>0</v>
      </c>
      <c r="L279" s="11">
        <v>1460300</v>
      </c>
      <c r="M279" s="11">
        <v>1773900</v>
      </c>
      <c r="N279" s="11">
        <v>0</v>
      </c>
    </row>
    <row r="280" spans="1:14" x14ac:dyDescent="0.3">
      <c r="A280" s="10">
        <v>46027</v>
      </c>
      <c r="B280" t="s">
        <v>19</v>
      </c>
      <c r="C280" t="str">
        <f t="shared" si="12"/>
        <v>3798512613280</v>
      </c>
      <c r="D280" t="str">
        <f t="shared" si="13"/>
        <v>Client280</v>
      </c>
      <c r="E280" t="str">
        <f t="shared" si="14"/>
        <v>BOB280</v>
      </c>
      <c r="F280" t="s">
        <v>25</v>
      </c>
      <c r="G280" s="11" t="s">
        <v>21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x14ac:dyDescent="0.3">
      <c r="A281" s="10">
        <v>46027</v>
      </c>
      <c r="B281" t="s">
        <v>19</v>
      </c>
      <c r="C281" t="str">
        <f t="shared" si="12"/>
        <v>3798512613281</v>
      </c>
      <c r="D281" t="str">
        <f t="shared" si="13"/>
        <v>Client281</v>
      </c>
      <c r="E281" t="str">
        <f t="shared" si="14"/>
        <v>BOB281</v>
      </c>
      <c r="F281" t="s">
        <v>42</v>
      </c>
      <c r="G281" s="11" t="s">
        <v>21</v>
      </c>
      <c r="H281" s="11">
        <v>0</v>
      </c>
      <c r="I281" s="11">
        <v>0</v>
      </c>
      <c r="J281" s="11">
        <v>4000000</v>
      </c>
      <c r="K281" s="11">
        <v>0</v>
      </c>
      <c r="L281" s="11">
        <v>14172100</v>
      </c>
      <c r="M281" s="11">
        <v>10170400</v>
      </c>
      <c r="N281" s="11">
        <v>0</v>
      </c>
    </row>
    <row r="282" spans="1:14" x14ac:dyDescent="0.3">
      <c r="A282" s="10">
        <v>46027</v>
      </c>
      <c r="B282" t="s">
        <v>19</v>
      </c>
      <c r="C282" t="str">
        <f t="shared" si="12"/>
        <v>3798512613282</v>
      </c>
      <c r="D282" t="str">
        <f t="shared" si="13"/>
        <v>Client282</v>
      </c>
      <c r="E282" t="str">
        <f t="shared" si="14"/>
        <v>BOB282</v>
      </c>
      <c r="G282" s="11"/>
      <c r="H282" s="11">
        <v>0</v>
      </c>
      <c r="I282" s="11">
        <v>0</v>
      </c>
      <c r="J282" s="11">
        <v>0</v>
      </c>
      <c r="K282" s="11">
        <v>4654500</v>
      </c>
      <c r="L282" s="11">
        <v>9662700</v>
      </c>
      <c r="M282" s="11">
        <v>14894600</v>
      </c>
      <c r="N282" s="11">
        <v>0</v>
      </c>
    </row>
    <row r="283" spans="1:14" x14ac:dyDescent="0.3">
      <c r="A283" s="10">
        <v>46027</v>
      </c>
      <c r="B283" t="s">
        <v>19</v>
      </c>
      <c r="C283" t="str">
        <f t="shared" si="12"/>
        <v>3798512613283</v>
      </c>
      <c r="D283" t="str">
        <f t="shared" si="13"/>
        <v>Client283</v>
      </c>
      <c r="E283" t="str">
        <f t="shared" si="14"/>
        <v>BOB283</v>
      </c>
      <c r="F283" t="s">
        <v>24</v>
      </c>
      <c r="G283" s="11" t="s">
        <v>21</v>
      </c>
      <c r="H283" s="11">
        <v>0</v>
      </c>
      <c r="I283" s="11">
        <v>0</v>
      </c>
      <c r="J283" s="11">
        <v>0</v>
      </c>
      <c r="K283" s="11">
        <v>15345600</v>
      </c>
      <c r="L283" s="11">
        <v>11865700</v>
      </c>
      <c r="M283" s="11">
        <v>28464800</v>
      </c>
      <c r="N283" s="11">
        <v>0</v>
      </c>
    </row>
    <row r="284" spans="1:14" x14ac:dyDescent="0.3">
      <c r="A284" s="10">
        <v>46027</v>
      </c>
      <c r="B284" t="s">
        <v>19</v>
      </c>
      <c r="C284" t="str">
        <f t="shared" si="12"/>
        <v>3798512613284</v>
      </c>
      <c r="D284" t="str">
        <f t="shared" si="13"/>
        <v>Client284</v>
      </c>
      <c r="E284" t="str">
        <f t="shared" si="14"/>
        <v>BOB284</v>
      </c>
      <c r="G284" s="11"/>
      <c r="H284" s="11">
        <v>0</v>
      </c>
      <c r="I284" s="11">
        <v>0</v>
      </c>
      <c r="J284" s="11">
        <v>0</v>
      </c>
      <c r="K284" s="11">
        <v>0</v>
      </c>
      <c r="L284" s="11">
        <v>12987200</v>
      </c>
      <c r="M284" s="11">
        <v>11937000</v>
      </c>
      <c r="N284" s="11">
        <v>0</v>
      </c>
    </row>
    <row r="285" spans="1:14" x14ac:dyDescent="0.3">
      <c r="A285" s="10">
        <v>46027</v>
      </c>
      <c r="B285" t="s">
        <v>19</v>
      </c>
      <c r="C285" t="str">
        <f t="shared" si="12"/>
        <v>3798512613285</v>
      </c>
      <c r="D285" t="str">
        <f t="shared" si="13"/>
        <v>Client285</v>
      </c>
      <c r="E285" t="str">
        <f t="shared" si="14"/>
        <v>BOB285</v>
      </c>
      <c r="F285" t="s">
        <v>25</v>
      </c>
      <c r="G285" s="11" t="s">
        <v>21</v>
      </c>
      <c r="H285" s="11">
        <v>0</v>
      </c>
      <c r="I285" s="11">
        <v>0</v>
      </c>
      <c r="J285" s="11">
        <v>10530000</v>
      </c>
      <c r="K285" s="11">
        <v>1024000</v>
      </c>
      <c r="L285" s="11">
        <v>22358400</v>
      </c>
      <c r="M285" s="11">
        <v>12761500</v>
      </c>
      <c r="N285" s="11">
        <v>0</v>
      </c>
    </row>
    <row r="286" spans="1:14" x14ac:dyDescent="0.3">
      <c r="A286" s="10">
        <v>46027</v>
      </c>
      <c r="B286" t="s">
        <v>19</v>
      </c>
      <c r="C286" t="str">
        <f t="shared" si="12"/>
        <v>3798512613286</v>
      </c>
      <c r="D286" t="str">
        <f t="shared" si="13"/>
        <v>Client286</v>
      </c>
      <c r="E286" t="str">
        <f t="shared" si="14"/>
        <v>BOB286</v>
      </c>
      <c r="F286" t="s">
        <v>22</v>
      </c>
      <c r="G286" s="11" t="s">
        <v>23</v>
      </c>
      <c r="H286" s="11">
        <v>0</v>
      </c>
      <c r="I286" s="11">
        <v>0</v>
      </c>
      <c r="J286" s="11">
        <v>0</v>
      </c>
      <c r="K286" s="11">
        <v>1000000</v>
      </c>
      <c r="L286" s="11">
        <v>11758600</v>
      </c>
      <c r="M286" s="11">
        <v>17157000</v>
      </c>
      <c r="N286" s="11">
        <v>0</v>
      </c>
    </row>
    <row r="287" spans="1:14" x14ac:dyDescent="0.3">
      <c r="A287" s="10">
        <v>46027</v>
      </c>
      <c r="B287" t="s">
        <v>19</v>
      </c>
      <c r="C287" t="str">
        <f t="shared" si="12"/>
        <v>3798512613287</v>
      </c>
      <c r="D287" t="str">
        <f t="shared" si="13"/>
        <v>Client287</v>
      </c>
      <c r="E287" t="str">
        <f t="shared" si="14"/>
        <v>BOB287</v>
      </c>
      <c r="F287" t="s">
        <v>24</v>
      </c>
      <c r="G287" s="11" t="s">
        <v>64</v>
      </c>
      <c r="H287" s="11">
        <v>0</v>
      </c>
      <c r="I287" s="11">
        <v>0</v>
      </c>
      <c r="J287" s="11">
        <v>1000000</v>
      </c>
      <c r="K287" s="11">
        <v>8000000</v>
      </c>
      <c r="L287" s="11">
        <v>7918700</v>
      </c>
      <c r="M287" s="11">
        <v>19794300</v>
      </c>
      <c r="N287" s="11">
        <v>0</v>
      </c>
    </row>
    <row r="288" spans="1:14" x14ac:dyDescent="0.3">
      <c r="A288" s="10">
        <v>46027</v>
      </c>
      <c r="B288" t="s">
        <v>19</v>
      </c>
      <c r="C288" t="str">
        <f t="shared" si="12"/>
        <v>3798512613288</v>
      </c>
      <c r="D288" t="str">
        <f t="shared" si="13"/>
        <v>Client288</v>
      </c>
      <c r="E288" t="str">
        <f t="shared" si="14"/>
        <v>BOB288</v>
      </c>
      <c r="F288" t="s">
        <v>22</v>
      </c>
      <c r="G288" s="11" t="s">
        <v>23</v>
      </c>
      <c r="H288" s="11">
        <v>0</v>
      </c>
      <c r="I288" s="11">
        <v>0</v>
      </c>
      <c r="J288" s="11">
        <v>0</v>
      </c>
      <c r="K288" s="11">
        <v>500500</v>
      </c>
      <c r="L288" s="11">
        <v>570300</v>
      </c>
      <c r="M288" s="11">
        <v>1165500</v>
      </c>
      <c r="N288" s="11">
        <v>0</v>
      </c>
    </row>
    <row r="289" spans="1:14" x14ac:dyDescent="0.3">
      <c r="A289" s="10">
        <v>46027</v>
      </c>
      <c r="B289" t="s">
        <v>19</v>
      </c>
      <c r="C289" t="str">
        <f t="shared" si="12"/>
        <v>3798512613289</v>
      </c>
      <c r="D289" t="str">
        <f t="shared" si="13"/>
        <v>Client289</v>
      </c>
      <c r="E289" t="str">
        <f t="shared" si="14"/>
        <v>BOB289</v>
      </c>
      <c r="F289" t="s">
        <v>25</v>
      </c>
      <c r="G289" s="11" t="s">
        <v>21</v>
      </c>
      <c r="H289" s="11">
        <v>0</v>
      </c>
      <c r="I289" s="11">
        <v>0</v>
      </c>
      <c r="J289" s="11">
        <v>0</v>
      </c>
      <c r="K289" s="11">
        <v>0</v>
      </c>
      <c r="L289" s="11">
        <v>18713900</v>
      </c>
      <c r="M289" s="11">
        <v>17004500</v>
      </c>
      <c r="N289" s="11">
        <v>0</v>
      </c>
    </row>
    <row r="290" spans="1:14" x14ac:dyDescent="0.3">
      <c r="A290" s="10">
        <v>46027</v>
      </c>
      <c r="B290" t="s">
        <v>19</v>
      </c>
      <c r="C290" t="str">
        <f t="shared" si="12"/>
        <v>3798512613290</v>
      </c>
      <c r="D290" t="str">
        <f t="shared" si="13"/>
        <v>Client290</v>
      </c>
      <c r="E290" t="str">
        <f t="shared" si="14"/>
        <v>BOB290</v>
      </c>
      <c r="F290" t="s">
        <v>54</v>
      </c>
      <c r="G290" s="11" t="s">
        <v>54</v>
      </c>
      <c r="H290" s="11">
        <v>0</v>
      </c>
      <c r="I290" s="11">
        <v>0</v>
      </c>
      <c r="J290" s="11">
        <v>0</v>
      </c>
      <c r="K290" s="11">
        <v>0</v>
      </c>
      <c r="L290" s="11">
        <v>4140500</v>
      </c>
      <c r="M290" s="11">
        <v>3571500</v>
      </c>
      <c r="N290" s="11">
        <v>0</v>
      </c>
    </row>
    <row r="291" spans="1:14" x14ac:dyDescent="0.3">
      <c r="A291" s="10">
        <v>46027</v>
      </c>
      <c r="B291" t="s">
        <v>19</v>
      </c>
      <c r="C291" t="str">
        <f t="shared" si="12"/>
        <v>3798512613291</v>
      </c>
      <c r="D291" t="str">
        <f t="shared" si="13"/>
        <v>Client291</v>
      </c>
      <c r="E291" t="str">
        <f t="shared" si="14"/>
        <v>BOB291</v>
      </c>
      <c r="F291" t="s">
        <v>20</v>
      </c>
      <c r="G291" s="11" t="s">
        <v>21</v>
      </c>
      <c r="H291" s="11">
        <v>0</v>
      </c>
      <c r="I291" s="11">
        <v>0</v>
      </c>
      <c r="J291" s="11">
        <v>2000000</v>
      </c>
      <c r="K291" s="11">
        <v>2000000</v>
      </c>
      <c r="L291" s="11">
        <v>86093400</v>
      </c>
      <c r="M291" s="11">
        <v>88975200</v>
      </c>
      <c r="N291" s="11">
        <v>0</v>
      </c>
    </row>
    <row r="292" spans="1:14" x14ac:dyDescent="0.3">
      <c r="A292" s="10">
        <v>46027</v>
      </c>
      <c r="B292" t="s">
        <v>19</v>
      </c>
      <c r="C292" t="str">
        <f t="shared" si="12"/>
        <v>3798512613292</v>
      </c>
      <c r="D292" t="str">
        <f t="shared" si="13"/>
        <v>Client292</v>
      </c>
      <c r="E292" t="str">
        <f t="shared" si="14"/>
        <v>BOB292</v>
      </c>
      <c r="F292" t="s">
        <v>25</v>
      </c>
      <c r="G292" s="11" t="s">
        <v>21</v>
      </c>
      <c r="H292" s="11">
        <v>0</v>
      </c>
      <c r="I292" s="11">
        <v>19528500</v>
      </c>
      <c r="J292" s="11">
        <v>24474000</v>
      </c>
      <c r="K292" s="11">
        <v>12721400</v>
      </c>
      <c r="L292" s="11">
        <v>3345800</v>
      </c>
      <c r="M292" s="11">
        <v>9583600</v>
      </c>
      <c r="N292" s="11">
        <v>0</v>
      </c>
    </row>
    <row r="293" spans="1:14" x14ac:dyDescent="0.3">
      <c r="A293" s="10">
        <v>46027</v>
      </c>
      <c r="B293" t="s">
        <v>19</v>
      </c>
      <c r="C293" t="str">
        <f t="shared" si="12"/>
        <v>3798512613293</v>
      </c>
      <c r="D293" t="str">
        <f t="shared" si="13"/>
        <v>Client293</v>
      </c>
      <c r="E293" t="str">
        <f t="shared" si="14"/>
        <v>BOB293</v>
      </c>
      <c r="F293" t="s">
        <v>20</v>
      </c>
      <c r="G293" s="11" t="s">
        <v>21</v>
      </c>
      <c r="H293" s="11">
        <v>0</v>
      </c>
      <c r="I293" s="11">
        <v>0</v>
      </c>
      <c r="J293" s="11">
        <v>0</v>
      </c>
      <c r="K293" s="11">
        <v>0</v>
      </c>
      <c r="L293" s="11">
        <v>176300</v>
      </c>
      <c r="M293" s="11">
        <v>147000</v>
      </c>
      <c r="N293" s="11">
        <v>0</v>
      </c>
    </row>
    <row r="294" spans="1:14" x14ac:dyDescent="0.3">
      <c r="A294" s="10">
        <v>46027</v>
      </c>
      <c r="B294" t="s">
        <v>19</v>
      </c>
      <c r="C294" t="str">
        <f t="shared" si="12"/>
        <v>3798512613294</v>
      </c>
      <c r="D294" t="str">
        <f t="shared" si="13"/>
        <v>Client294</v>
      </c>
      <c r="E294" t="str">
        <f t="shared" si="14"/>
        <v>BOB294</v>
      </c>
      <c r="F294" t="s">
        <v>25</v>
      </c>
      <c r="G294" s="11" t="s">
        <v>21</v>
      </c>
      <c r="H294" s="11">
        <v>0</v>
      </c>
      <c r="I294" s="11">
        <v>0</v>
      </c>
      <c r="J294" s="11">
        <v>1717000</v>
      </c>
      <c r="K294" s="11">
        <v>2339000</v>
      </c>
      <c r="L294" s="11">
        <v>2404500</v>
      </c>
      <c r="M294" s="11">
        <v>1873400</v>
      </c>
      <c r="N294" s="11">
        <v>0</v>
      </c>
    </row>
    <row r="295" spans="1:14" x14ac:dyDescent="0.3">
      <c r="A295" s="10">
        <v>46027</v>
      </c>
      <c r="B295" t="s">
        <v>19</v>
      </c>
      <c r="C295" t="str">
        <f t="shared" si="12"/>
        <v>3798512613295</v>
      </c>
      <c r="D295" t="str">
        <f t="shared" si="13"/>
        <v>Client295</v>
      </c>
      <c r="E295" t="str">
        <f t="shared" si="14"/>
        <v>BOB295</v>
      </c>
      <c r="F295" t="s">
        <v>25</v>
      </c>
      <c r="G295" s="11" t="s">
        <v>21</v>
      </c>
      <c r="H295" s="11">
        <v>0</v>
      </c>
      <c r="I295" s="11">
        <v>0</v>
      </c>
      <c r="J295" s="11">
        <v>0</v>
      </c>
      <c r="K295" s="11">
        <v>0</v>
      </c>
      <c r="L295" s="11">
        <v>15335500</v>
      </c>
      <c r="M295" s="11">
        <v>14913700</v>
      </c>
      <c r="N295" s="11">
        <v>0</v>
      </c>
    </row>
    <row r="296" spans="1:14" x14ac:dyDescent="0.3">
      <c r="A296" s="10">
        <v>46027</v>
      </c>
      <c r="B296" t="s">
        <v>19</v>
      </c>
      <c r="C296" t="str">
        <f t="shared" si="12"/>
        <v>3798512613296</v>
      </c>
      <c r="D296" t="str">
        <f t="shared" si="13"/>
        <v>Client296</v>
      </c>
      <c r="E296" t="str">
        <f t="shared" si="14"/>
        <v>BOB296</v>
      </c>
      <c r="F296" t="s">
        <v>20</v>
      </c>
      <c r="G296" s="11" t="s">
        <v>21</v>
      </c>
      <c r="H296" s="11">
        <v>40000000</v>
      </c>
      <c r="I296" s="11">
        <v>768000</v>
      </c>
      <c r="J296" s="11">
        <v>34958000</v>
      </c>
      <c r="K296" s="11">
        <v>0</v>
      </c>
      <c r="L296" s="11">
        <v>87096100</v>
      </c>
      <c r="M296" s="11">
        <v>12119400</v>
      </c>
      <c r="N296" s="11">
        <v>0</v>
      </c>
    </row>
    <row r="297" spans="1:14" x14ac:dyDescent="0.3">
      <c r="A297" s="10">
        <v>46027</v>
      </c>
      <c r="B297" t="s">
        <v>19</v>
      </c>
      <c r="C297" t="str">
        <f t="shared" si="12"/>
        <v>3798512613297</v>
      </c>
      <c r="D297" t="str">
        <f t="shared" si="13"/>
        <v>Client297</v>
      </c>
      <c r="E297" t="str">
        <f t="shared" si="14"/>
        <v>BOB297</v>
      </c>
      <c r="F297" t="s">
        <v>25</v>
      </c>
      <c r="G297" s="11" t="s">
        <v>21</v>
      </c>
      <c r="H297" s="11">
        <v>0</v>
      </c>
      <c r="I297" s="11">
        <v>0</v>
      </c>
      <c r="J297" s="11">
        <v>0</v>
      </c>
      <c r="K297" s="11">
        <v>0</v>
      </c>
      <c r="L297" s="11">
        <v>13498700</v>
      </c>
      <c r="M297" s="11">
        <v>18479100</v>
      </c>
      <c r="N297" s="11">
        <v>0</v>
      </c>
    </row>
    <row r="298" spans="1:14" x14ac:dyDescent="0.3">
      <c r="A298" s="10">
        <v>46027</v>
      </c>
      <c r="B298" t="s">
        <v>19</v>
      </c>
      <c r="C298" t="str">
        <f t="shared" si="12"/>
        <v>3798512613298</v>
      </c>
      <c r="D298" t="str">
        <f t="shared" si="13"/>
        <v>Client298</v>
      </c>
      <c r="E298" t="str">
        <f t="shared" si="14"/>
        <v>BOB298</v>
      </c>
      <c r="F298" t="s">
        <v>25</v>
      </c>
      <c r="G298" s="11" t="s">
        <v>21</v>
      </c>
      <c r="H298" s="11">
        <v>0</v>
      </c>
      <c r="I298" s="11">
        <v>0</v>
      </c>
      <c r="J298" s="11">
        <v>200000</v>
      </c>
      <c r="K298" s="11">
        <v>200000</v>
      </c>
      <c r="L298" s="11">
        <v>0</v>
      </c>
      <c r="M298" s="11">
        <v>0</v>
      </c>
      <c r="N298" s="11">
        <v>0</v>
      </c>
    </row>
    <row r="299" spans="1:14" x14ac:dyDescent="0.3">
      <c r="A299" s="10">
        <v>46027</v>
      </c>
      <c r="B299" t="s">
        <v>19</v>
      </c>
      <c r="C299" t="str">
        <f t="shared" si="12"/>
        <v>3798512613299</v>
      </c>
      <c r="D299" t="str">
        <f t="shared" si="13"/>
        <v>Client299</v>
      </c>
      <c r="E299" t="str">
        <f t="shared" si="14"/>
        <v>BOB299</v>
      </c>
      <c r="F299" t="s">
        <v>24</v>
      </c>
      <c r="G299" s="11" t="s">
        <v>21</v>
      </c>
      <c r="H299" s="11">
        <v>0</v>
      </c>
      <c r="I299" s="11">
        <v>0</v>
      </c>
      <c r="J299" s="11">
        <v>0</v>
      </c>
      <c r="K299" s="11">
        <v>2902800</v>
      </c>
      <c r="L299" s="11">
        <v>36893700</v>
      </c>
      <c r="M299" s="11">
        <v>41028100</v>
      </c>
      <c r="N299" s="11">
        <v>0</v>
      </c>
    </row>
    <row r="300" spans="1:14" x14ac:dyDescent="0.3">
      <c r="A300" s="10">
        <v>46027</v>
      </c>
      <c r="B300" t="s">
        <v>19</v>
      </c>
      <c r="C300" t="str">
        <f t="shared" si="12"/>
        <v>3798512613300</v>
      </c>
      <c r="D300" t="str">
        <f t="shared" si="13"/>
        <v>Client300</v>
      </c>
      <c r="E300" t="str">
        <f t="shared" si="14"/>
        <v>BOB300</v>
      </c>
      <c r="G300" s="11"/>
      <c r="H300" s="11">
        <v>0</v>
      </c>
      <c r="I300" s="11">
        <v>97077700</v>
      </c>
      <c r="J300" s="11">
        <v>120507700</v>
      </c>
      <c r="K300" s="11">
        <v>345000</v>
      </c>
      <c r="L300" s="11">
        <v>54027300</v>
      </c>
      <c r="M300" s="11">
        <v>28235000</v>
      </c>
      <c r="N300" s="11">
        <v>0</v>
      </c>
    </row>
    <row r="301" spans="1:14" x14ac:dyDescent="0.3">
      <c r="A301" s="10">
        <v>46027</v>
      </c>
      <c r="B301" t="s">
        <v>19</v>
      </c>
      <c r="C301" t="str">
        <f t="shared" si="12"/>
        <v>3798512613301</v>
      </c>
      <c r="D301" t="str">
        <f t="shared" si="13"/>
        <v>Client301</v>
      </c>
      <c r="E301" t="str">
        <f t="shared" si="14"/>
        <v>BOB301</v>
      </c>
      <c r="F301" t="s">
        <v>20</v>
      </c>
      <c r="G301" s="11" t="s">
        <v>21</v>
      </c>
      <c r="H301" s="11">
        <v>0</v>
      </c>
      <c r="I301" s="11">
        <v>0</v>
      </c>
      <c r="J301" s="11">
        <v>0</v>
      </c>
      <c r="K301" s="11">
        <v>0</v>
      </c>
      <c r="L301" s="11">
        <v>27501700</v>
      </c>
      <c r="M301" s="11">
        <v>27288100</v>
      </c>
      <c r="N301" s="11">
        <v>0</v>
      </c>
    </row>
    <row r="302" spans="1:14" x14ac:dyDescent="0.3">
      <c r="A302" s="10">
        <v>46027</v>
      </c>
      <c r="B302" t="s">
        <v>19</v>
      </c>
      <c r="C302" t="str">
        <f t="shared" si="12"/>
        <v>3798512613302</v>
      </c>
      <c r="D302" t="str">
        <f t="shared" si="13"/>
        <v>Client302</v>
      </c>
      <c r="E302" t="str">
        <f t="shared" si="14"/>
        <v>BOB302</v>
      </c>
      <c r="F302" t="s">
        <v>22</v>
      </c>
      <c r="G302" s="11" t="s">
        <v>23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x14ac:dyDescent="0.3">
      <c r="A303" s="10">
        <v>46027</v>
      </c>
      <c r="B303" t="s">
        <v>19</v>
      </c>
      <c r="C303" t="str">
        <f t="shared" si="12"/>
        <v>3798512613303</v>
      </c>
      <c r="D303" t="str">
        <f t="shared" si="13"/>
        <v>Client303</v>
      </c>
      <c r="E303" t="str">
        <f t="shared" si="14"/>
        <v>BOB303</v>
      </c>
      <c r="F303" t="s">
        <v>25</v>
      </c>
      <c r="G303" s="11" t="s">
        <v>21</v>
      </c>
      <c r="H303" s="11">
        <v>0</v>
      </c>
      <c r="I303" s="11">
        <v>0</v>
      </c>
      <c r="J303" s="11">
        <v>0</v>
      </c>
      <c r="K303" s="11">
        <v>0</v>
      </c>
      <c r="L303" s="11">
        <v>2925400</v>
      </c>
      <c r="M303" s="11">
        <v>3902600</v>
      </c>
      <c r="N303" s="11">
        <v>0</v>
      </c>
    </row>
    <row r="304" spans="1:14" x14ac:dyDescent="0.3">
      <c r="A304" s="10">
        <v>46027</v>
      </c>
      <c r="B304" t="s">
        <v>19</v>
      </c>
      <c r="C304" t="str">
        <f t="shared" si="12"/>
        <v>3798512613304</v>
      </c>
      <c r="D304" t="str">
        <f t="shared" si="13"/>
        <v>Client304</v>
      </c>
      <c r="E304" t="str">
        <f t="shared" si="14"/>
        <v>BOB304</v>
      </c>
      <c r="F304" t="s">
        <v>26</v>
      </c>
      <c r="G304" s="11" t="s">
        <v>47</v>
      </c>
      <c r="H304" s="11">
        <v>0</v>
      </c>
      <c r="I304" s="11">
        <v>0</v>
      </c>
      <c r="J304" s="11">
        <v>46400000</v>
      </c>
      <c r="K304" s="11">
        <v>10400000</v>
      </c>
      <c r="L304" s="11">
        <v>129619200</v>
      </c>
      <c r="M304" s="11">
        <v>32254800</v>
      </c>
      <c r="N304" s="11">
        <v>0</v>
      </c>
    </row>
    <row r="305" spans="1:14" x14ac:dyDescent="0.3">
      <c r="A305" s="10">
        <v>46027</v>
      </c>
      <c r="B305" t="s">
        <v>19</v>
      </c>
      <c r="C305" t="str">
        <f t="shared" si="12"/>
        <v>3798512613305</v>
      </c>
      <c r="D305" t="str">
        <f t="shared" si="13"/>
        <v>Client305</v>
      </c>
      <c r="E305" t="str">
        <f t="shared" si="14"/>
        <v>BOB305</v>
      </c>
      <c r="F305" t="s">
        <v>25</v>
      </c>
      <c r="G305" s="11" t="s">
        <v>21</v>
      </c>
      <c r="H305" s="11">
        <v>0</v>
      </c>
      <c r="I305" s="11">
        <v>0</v>
      </c>
      <c r="J305" s="11">
        <v>0</v>
      </c>
      <c r="K305" s="11">
        <v>0</v>
      </c>
      <c r="L305" s="11">
        <v>3676800</v>
      </c>
      <c r="M305" s="11">
        <v>3950400</v>
      </c>
      <c r="N305" s="11">
        <v>0</v>
      </c>
    </row>
    <row r="306" spans="1:14" x14ac:dyDescent="0.3">
      <c r="A306" s="10">
        <v>46027</v>
      </c>
      <c r="B306" t="s">
        <v>19</v>
      </c>
      <c r="C306" t="str">
        <f t="shared" si="12"/>
        <v>3798512613306</v>
      </c>
      <c r="D306" t="str">
        <f t="shared" si="13"/>
        <v>Client306</v>
      </c>
      <c r="E306" t="str">
        <f t="shared" si="14"/>
        <v>BOB306</v>
      </c>
      <c r="F306" t="s">
        <v>20</v>
      </c>
      <c r="G306" s="11" t="s">
        <v>21</v>
      </c>
      <c r="H306" s="11">
        <v>0</v>
      </c>
      <c r="I306" s="11">
        <v>0</v>
      </c>
      <c r="J306" s="11">
        <v>7000000</v>
      </c>
      <c r="K306" s="11">
        <v>0</v>
      </c>
      <c r="L306" s="11">
        <v>7000000</v>
      </c>
      <c r="M306" s="11">
        <v>0</v>
      </c>
      <c r="N306" s="11">
        <v>0</v>
      </c>
    </row>
    <row r="307" spans="1:14" x14ac:dyDescent="0.3">
      <c r="A307" s="10">
        <v>46027</v>
      </c>
      <c r="B307" t="s">
        <v>19</v>
      </c>
      <c r="C307" t="str">
        <f t="shared" si="12"/>
        <v>3798512613307</v>
      </c>
      <c r="D307" t="str">
        <f t="shared" si="13"/>
        <v>Client307</v>
      </c>
      <c r="E307" t="str">
        <f t="shared" si="14"/>
        <v>BOB307</v>
      </c>
      <c r="F307" t="s">
        <v>22</v>
      </c>
      <c r="G307" s="11" t="s">
        <v>23</v>
      </c>
      <c r="H307" s="11">
        <v>0</v>
      </c>
      <c r="I307" s="11">
        <v>0</v>
      </c>
      <c r="J307" s="11">
        <v>0</v>
      </c>
      <c r="K307" s="11">
        <v>500500</v>
      </c>
      <c r="L307" s="11">
        <v>1336200</v>
      </c>
      <c r="M307" s="11">
        <v>2364400</v>
      </c>
      <c r="N307" s="11">
        <v>0</v>
      </c>
    </row>
    <row r="308" spans="1:14" x14ac:dyDescent="0.3">
      <c r="A308" s="10">
        <v>46027</v>
      </c>
      <c r="B308" t="s">
        <v>19</v>
      </c>
      <c r="C308" t="str">
        <f t="shared" si="12"/>
        <v>3798512613308</v>
      </c>
      <c r="D308" t="str">
        <f t="shared" si="13"/>
        <v>Client308</v>
      </c>
      <c r="E308" t="str">
        <f t="shared" si="14"/>
        <v>BOB308</v>
      </c>
      <c r="F308" t="s">
        <v>20</v>
      </c>
      <c r="G308" s="11" t="s">
        <v>21</v>
      </c>
      <c r="H308" s="11">
        <v>0</v>
      </c>
      <c r="I308" s="11">
        <v>17025500</v>
      </c>
      <c r="J308" s="11">
        <v>0</v>
      </c>
      <c r="K308" s="11">
        <v>0</v>
      </c>
      <c r="L308" s="11">
        <v>18559700</v>
      </c>
      <c r="M308" s="11">
        <v>35249700</v>
      </c>
      <c r="N308" s="11">
        <v>0</v>
      </c>
    </row>
    <row r="309" spans="1:14" x14ac:dyDescent="0.3">
      <c r="A309" s="10">
        <v>46027</v>
      </c>
      <c r="B309" t="s">
        <v>19</v>
      </c>
      <c r="C309" t="str">
        <f t="shared" si="12"/>
        <v>3798512613309</v>
      </c>
      <c r="D309" t="str">
        <f t="shared" si="13"/>
        <v>Client309</v>
      </c>
      <c r="E309" t="str">
        <f t="shared" si="14"/>
        <v>BOB309</v>
      </c>
      <c r="F309" t="s">
        <v>20</v>
      </c>
      <c r="G309" s="11" t="s">
        <v>21</v>
      </c>
      <c r="H309" s="11">
        <v>0</v>
      </c>
      <c r="I309" s="11">
        <v>0</v>
      </c>
      <c r="J309" s="11">
        <v>0</v>
      </c>
      <c r="K309" s="11">
        <v>0</v>
      </c>
      <c r="L309" s="11">
        <v>14455300</v>
      </c>
      <c r="M309" s="11">
        <v>15602600</v>
      </c>
      <c r="N309" s="11">
        <v>0</v>
      </c>
    </row>
    <row r="310" spans="1:14" x14ac:dyDescent="0.3">
      <c r="A310" s="10">
        <v>46027</v>
      </c>
      <c r="B310" t="s">
        <v>19</v>
      </c>
      <c r="C310" t="str">
        <f t="shared" si="12"/>
        <v>3798512613310</v>
      </c>
      <c r="D310" t="str">
        <f t="shared" si="13"/>
        <v>Client310</v>
      </c>
      <c r="E310" t="str">
        <f t="shared" si="14"/>
        <v>BOB310</v>
      </c>
      <c r="F310" t="s">
        <v>20</v>
      </c>
      <c r="G310" s="11" t="s">
        <v>21</v>
      </c>
      <c r="H310" s="11">
        <v>0</v>
      </c>
      <c r="I310" s="11">
        <v>0</v>
      </c>
      <c r="J310" s="11">
        <v>0</v>
      </c>
      <c r="K310" s="11">
        <v>0</v>
      </c>
      <c r="L310" s="11">
        <v>28612400</v>
      </c>
      <c r="M310" s="11">
        <v>30449600</v>
      </c>
      <c r="N310" s="11">
        <v>0</v>
      </c>
    </row>
    <row r="311" spans="1:14" x14ac:dyDescent="0.3">
      <c r="A311" s="10">
        <v>46027</v>
      </c>
      <c r="B311" t="s">
        <v>19</v>
      </c>
      <c r="C311" t="str">
        <f t="shared" si="12"/>
        <v>3798512613311</v>
      </c>
      <c r="D311" t="str">
        <f t="shared" si="13"/>
        <v>Client311</v>
      </c>
      <c r="E311" t="str">
        <f t="shared" si="14"/>
        <v>BOB311</v>
      </c>
      <c r="F311" t="s">
        <v>20</v>
      </c>
      <c r="G311" s="11" t="s">
        <v>21</v>
      </c>
      <c r="H311" s="11">
        <v>0</v>
      </c>
      <c r="I311" s="11">
        <v>0</v>
      </c>
      <c r="J311" s="11">
        <v>0</v>
      </c>
      <c r="K311" s="11">
        <v>0</v>
      </c>
      <c r="L311" s="11">
        <v>353100</v>
      </c>
      <c r="M311" s="11">
        <v>380000</v>
      </c>
      <c r="N311" s="11">
        <v>0</v>
      </c>
    </row>
    <row r="312" spans="1:14" x14ac:dyDescent="0.3">
      <c r="A312" s="10">
        <v>46027</v>
      </c>
      <c r="B312" t="s">
        <v>19</v>
      </c>
      <c r="C312" t="str">
        <f t="shared" si="12"/>
        <v>3798512613312</v>
      </c>
      <c r="D312" t="str">
        <f t="shared" si="13"/>
        <v>Client312</v>
      </c>
      <c r="E312" t="str">
        <f t="shared" si="14"/>
        <v>BOB312</v>
      </c>
      <c r="F312" t="s">
        <v>20</v>
      </c>
      <c r="G312" s="11" t="s">
        <v>21</v>
      </c>
      <c r="H312" s="11">
        <v>0</v>
      </c>
      <c r="I312" s="11">
        <v>0</v>
      </c>
      <c r="J312" s="11">
        <v>0</v>
      </c>
      <c r="K312" s="11">
        <v>1500000</v>
      </c>
      <c r="L312" s="11">
        <v>10714600</v>
      </c>
      <c r="M312" s="11">
        <v>12516700</v>
      </c>
      <c r="N312" s="11">
        <v>0</v>
      </c>
    </row>
    <row r="313" spans="1:14" x14ac:dyDescent="0.3">
      <c r="A313" s="10">
        <v>46027</v>
      </c>
      <c r="B313" t="s">
        <v>19</v>
      </c>
      <c r="C313" t="str">
        <f t="shared" si="12"/>
        <v>3798512613313</v>
      </c>
      <c r="D313" t="str">
        <f t="shared" si="13"/>
        <v>Client313</v>
      </c>
      <c r="E313" t="str">
        <f t="shared" si="14"/>
        <v>BOB313</v>
      </c>
      <c r="F313" t="s">
        <v>20</v>
      </c>
      <c r="G313" s="11" t="s">
        <v>21</v>
      </c>
      <c r="H313" s="11">
        <v>0</v>
      </c>
      <c r="I313" s="11">
        <v>1000000</v>
      </c>
      <c r="J313" s="11">
        <v>0</v>
      </c>
      <c r="K313" s="11">
        <v>0</v>
      </c>
      <c r="L313" s="11">
        <v>15053900</v>
      </c>
      <c r="M313" s="11">
        <v>15830500</v>
      </c>
      <c r="N313" s="11">
        <v>0</v>
      </c>
    </row>
    <row r="314" spans="1:14" x14ac:dyDescent="0.3">
      <c r="A314" s="10">
        <v>46027</v>
      </c>
      <c r="B314" t="s">
        <v>19</v>
      </c>
      <c r="C314" t="str">
        <f t="shared" si="12"/>
        <v>3798512613314</v>
      </c>
      <c r="D314" t="str">
        <f t="shared" si="13"/>
        <v>Client314</v>
      </c>
      <c r="E314" t="str">
        <f t="shared" si="14"/>
        <v>BOB314</v>
      </c>
      <c r="F314" t="s">
        <v>20</v>
      </c>
      <c r="G314" s="11" t="s">
        <v>21</v>
      </c>
      <c r="H314" s="11">
        <v>0</v>
      </c>
      <c r="I314" s="11">
        <v>0</v>
      </c>
      <c r="J314" s="11">
        <v>0</v>
      </c>
      <c r="K314" s="11">
        <v>2000000</v>
      </c>
      <c r="L314" s="11">
        <v>10000000</v>
      </c>
      <c r="M314" s="11">
        <v>0</v>
      </c>
      <c r="N314" s="11">
        <v>12000000</v>
      </c>
    </row>
    <row r="315" spans="1:14" x14ac:dyDescent="0.3">
      <c r="A315" s="10">
        <v>46027</v>
      </c>
      <c r="B315" t="s">
        <v>19</v>
      </c>
      <c r="C315" t="str">
        <f t="shared" si="12"/>
        <v>3798512613315</v>
      </c>
      <c r="D315" t="str">
        <f t="shared" si="13"/>
        <v>Client315</v>
      </c>
      <c r="E315" t="str">
        <f t="shared" si="14"/>
        <v>BOB315</v>
      </c>
      <c r="F315" t="s">
        <v>20</v>
      </c>
      <c r="G315" s="11" t="s">
        <v>21</v>
      </c>
      <c r="H315" s="11">
        <v>0</v>
      </c>
      <c r="I315" s="11">
        <v>15188800</v>
      </c>
      <c r="J315" s="11">
        <v>0</v>
      </c>
      <c r="K315" s="11">
        <v>0</v>
      </c>
      <c r="L315" s="11">
        <v>34431200</v>
      </c>
      <c r="M315" s="11">
        <v>48209300</v>
      </c>
      <c r="N315" s="11">
        <v>0</v>
      </c>
    </row>
    <row r="316" spans="1:14" x14ac:dyDescent="0.3">
      <c r="A316" s="10">
        <v>46027</v>
      </c>
      <c r="B316" t="s">
        <v>19</v>
      </c>
      <c r="C316" t="str">
        <f t="shared" si="12"/>
        <v>3798512613316</v>
      </c>
      <c r="D316" t="str">
        <f t="shared" si="13"/>
        <v>Client316</v>
      </c>
      <c r="E316" t="str">
        <f t="shared" si="14"/>
        <v>BOB316</v>
      </c>
      <c r="F316" t="s">
        <v>25</v>
      </c>
      <c r="G316" s="11" t="s">
        <v>21</v>
      </c>
      <c r="H316" s="11">
        <v>0</v>
      </c>
      <c r="I316" s="11">
        <v>0</v>
      </c>
      <c r="J316" s="11">
        <v>0</v>
      </c>
      <c r="K316" s="11">
        <v>0</v>
      </c>
      <c r="L316" s="11">
        <v>37805000</v>
      </c>
      <c r="M316" s="11">
        <v>25138100</v>
      </c>
      <c r="N316" s="11">
        <v>0</v>
      </c>
    </row>
    <row r="317" spans="1:14" x14ac:dyDescent="0.3">
      <c r="A317" s="10">
        <v>46027</v>
      </c>
      <c r="B317" t="s">
        <v>19</v>
      </c>
      <c r="C317" t="str">
        <f t="shared" si="12"/>
        <v>3798512613317</v>
      </c>
      <c r="D317" t="str">
        <f t="shared" si="13"/>
        <v>Client317</v>
      </c>
      <c r="E317" t="str">
        <f t="shared" si="14"/>
        <v>BOB317</v>
      </c>
      <c r="F317" t="s">
        <v>22</v>
      </c>
      <c r="G317" s="11" t="s">
        <v>23</v>
      </c>
      <c r="H317" s="11">
        <v>0</v>
      </c>
      <c r="I317" s="11">
        <v>0</v>
      </c>
      <c r="J317" s="11">
        <v>0</v>
      </c>
      <c r="K317" s="11">
        <v>0</v>
      </c>
      <c r="L317" s="11">
        <v>4475900</v>
      </c>
      <c r="M317" s="11">
        <v>4636400</v>
      </c>
      <c r="N317" s="11">
        <v>0</v>
      </c>
    </row>
    <row r="318" spans="1:14" x14ac:dyDescent="0.3">
      <c r="A318" s="10">
        <v>46027</v>
      </c>
      <c r="B318" t="s">
        <v>19</v>
      </c>
      <c r="C318" t="str">
        <f t="shared" si="12"/>
        <v>3798512613318</v>
      </c>
      <c r="D318" t="str">
        <f t="shared" si="13"/>
        <v>Client318</v>
      </c>
      <c r="E318" t="str">
        <f t="shared" si="14"/>
        <v>BOB318</v>
      </c>
      <c r="F318" t="s">
        <v>20</v>
      </c>
      <c r="G318" s="11" t="s">
        <v>21</v>
      </c>
      <c r="H318" s="11">
        <v>0</v>
      </c>
      <c r="I318" s="11">
        <v>0</v>
      </c>
      <c r="J318" s="11">
        <v>0</v>
      </c>
      <c r="K318" s="11">
        <v>0</v>
      </c>
      <c r="L318" s="11">
        <v>24902800</v>
      </c>
      <c r="M318" s="11">
        <v>25477700</v>
      </c>
      <c r="N318" s="11">
        <v>0</v>
      </c>
    </row>
    <row r="319" spans="1:14" x14ac:dyDescent="0.3">
      <c r="A319" s="10">
        <v>46027</v>
      </c>
      <c r="B319" t="s">
        <v>19</v>
      </c>
      <c r="C319" t="str">
        <f t="shared" si="12"/>
        <v>3798512613319</v>
      </c>
      <c r="D319" t="str">
        <f t="shared" si="13"/>
        <v>Client319</v>
      </c>
      <c r="E319" t="str">
        <f t="shared" si="14"/>
        <v>BOB319</v>
      </c>
      <c r="G319" s="11"/>
      <c r="H319" s="11">
        <v>0</v>
      </c>
      <c r="I319" s="11">
        <v>2004000</v>
      </c>
      <c r="J319" s="11">
        <v>0</v>
      </c>
      <c r="K319" s="11">
        <v>620000</v>
      </c>
      <c r="L319" s="11">
        <v>1047300</v>
      </c>
      <c r="M319" s="11">
        <v>1005100</v>
      </c>
      <c r="N319" s="11">
        <v>0</v>
      </c>
    </row>
    <row r="320" spans="1:14" x14ac:dyDescent="0.3">
      <c r="A320" s="10">
        <v>46027</v>
      </c>
      <c r="B320" t="s">
        <v>19</v>
      </c>
      <c r="C320" t="str">
        <f t="shared" si="12"/>
        <v>3798512613320</v>
      </c>
      <c r="D320" t="str">
        <f t="shared" si="13"/>
        <v>Client320</v>
      </c>
      <c r="E320" t="str">
        <f t="shared" si="14"/>
        <v>BOB320</v>
      </c>
      <c r="G320" s="11"/>
      <c r="H320" s="11">
        <v>0</v>
      </c>
      <c r="I320" s="11">
        <v>0</v>
      </c>
      <c r="J320" s="11">
        <v>0</v>
      </c>
      <c r="K320" s="11">
        <v>0</v>
      </c>
      <c r="L320" s="11">
        <v>3780100</v>
      </c>
      <c r="M320" s="11">
        <v>3873700</v>
      </c>
      <c r="N320" s="11">
        <v>0</v>
      </c>
    </row>
    <row r="321" spans="1:14" x14ac:dyDescent="0.3">
      <c r="A321" s="10">
        <v>46027</v>
      </c>
      <c r="B321" t="s">
        <v>19</v>
      </c>
      <c r="C321" t="str">
        <f t="shared" si="12"/>
        <v>3798512613321</v>
      </c>
      <c r="D321" t="str">
        <f t="shared" si="13"/>
        <v>Client321</v>
      </c>
      <c r="E321" t="str">
        <f t="shared" si="14"/>
        <v>BOB321</v>
      </c>
      <c r="F321" t="s">
        <v>20</v>
      </c>
      <c r="G321" s="11" t="s">
        <v>21</v>
      </c>
      <c r="H321" s="11">
        <v>0</v>
      </c>
      <c r="I321" s="11">
        <v>1500000</v>
      </c>
      <c r="J321" s="11">
        <v>0</v>
      </c>
      <c r="K321" s="11">
        <v>0</v>
      </c>
      <c r="L321" s="11">
        <v>4876600</v>
      </c>
      <c r="M321" s="11">
        <v>6550200</v>
      </c>
      <c r="N321" s="11">
        <v>0</v>
      </c>
    </row>
    <row r="322" spans="1:14" x14ac:dyDescent="0.3">
      <c r="A322" s="10">
        <v>46027</v>
      </c>
      <c r="B322" t="s">
        <v>19</v>
      </c>
      <c r="C322" t="str">
        <f t="shared" si="12"/>
        <v>3798512613322</v>
      </c>
      <c r="D322" t="str">
        <f t="shared" si="13"/>
        <v>Client322</v>
      </c>
      <c r="E322" t="str">
        <f t="shared" si="14"/>
        <v>BOB322</v>
      </c>
      <c r="F322" t="s">
        <v>25</v>
      </c>
      <c r="G322" s="11" t="s">
        <v>21</v>
      </c>
      <c r="H322" s="11">
        <v>0</v>
      </c>
      <c r="I322" s="11">
        <v>0</v>
      </c>
      <c r="J322" s="11">
        <v>1200000</v>
      </c>
      <c r="K322" s="11">
        <v>1200000</v>
      </c>
      <c r="L322" s="11">
        <v>12980900</v>
      </c>
      <c r="M322" s="11">
        <v>12426500</v>
      </c>
      <c r="N322" s="11">
        <v>0</v>
      </c>
    </row>
    <row r="323" spans="1:14" x14ac:dyDescent="0.3">
      <c r="A323" s="10">
        <v>46027</v>
      </c>
      <c r="B323" t="s">
        <v>19</v>
      </c>
      <c r="C323" t="str">
        <f t="shared" ref="C323:C386" si="15" xml:space="preserve"> "3798512613" &amp; ROW()</f>
        <v>3798512613323</v>
      </c>
      <c r="D323" t="str">
        <f t="shared" ref="D323:D386" si="16">"Client"&amp;ROW()</f>
        <v>Client323</v>
      </c>
      <c r="E323" t="str">
        <f t="shared" ref="E323:E386" si="17">"BOB"&amp;ROW()</f>
        <v>BOB323</v>
      </c>
      <c r="F323" t="s">
        <v>22</v>
      </c>
      <c r="G323" s="11" t="s">
        <v>23</v>
      </c>
      <c r="H323" s="11">
        <v>0</v>
      </c>
      <c r="I323" s="11">
        <v>0</v>
      </c>
      <c r="J323" s="11">
        <v>0</v>
      </c>
      <c r="K323" s="11">
        <v>500500</v>
      </c>
      <c r="L323" s="11">
        <v>14423200</v>
      </c>
      <c r="M323" s="11">
        <v>14858800</v>
      </c>
      <c r="N323" s="11">
        <v>0</v>
      </c>
    </row>
    <row r="324" spans="1:14" x14ac:dyDescent="0.3">
      <c r="A324" s="10">
        <v>46027</v>
      </c>
      <c r="B324" t="s">
        <v>19</v>
      </c>
      <c r="C324" t="str">
        <f t="shared" si="15"/>
        <v>3798512613324</v>
      </c>
      <c r="D324" t="str">
        <f t="shared" si="16"/>
        <v>Client324</v>
      </c>
      <c r="E324" t="str">
        <f t="shared" si="17"/>
        <v>BOB324</v>
      </c>
      <c r="F324" t="s">
        <v>24</v>
      </c>
      <c r="G324" s="11" t="s">
        <v>21</v>
      </c>
      <c r="H324" s="11">
        <v>0</v>
      </c>
      <c r="I324" s="11">
        <v>0</v>
      </c>
      <c r="J324" s="11">
        <v>0</v>
      </c>
      <c r="K324" s="11">
        <v>2003000</v>
      </c>
      <c r="L324" s="11">
        <v>11412700</v>
      </c>
      <c r="M324" s="11">
        <v>13948900</v>
      </c>
      <c r="N324" s="11">
        <v>0</v>
      </c>
    </row>
    <row r="325" spans="1:14" x14ac:dyDescent="0.3">
      <c r="A325" s="10">
        <v>46027</v>
      </c>
      <c r="B325" t="s">
        <v>19</v>
      </c>
      <c r="C325" t="str">
        <f t="shared" si="15"/>
        <v>3798512613325</v>
      </c>
      <c r="D325" t="str">
        <f t="shared" si="16"/>
        <v>Client325</v>
      </c>
      <c r="E325" t="str">
        <f t="shared" si="17"/>
        <v>BOB325</v>
      </c>
      <c r="F325" t="s">
        <v>25</v>
      </c>
      <c r="G325" s="11" t="s">
        <v>21</v>
      </c>
      <c r="H325" s="11">
        <v>0</v>
      </c>
      <c r="I325" s="11">
        <v>0</v>
      </c>
      <c r="J325" s="11">
        <v>13285000</v>
      </c>
      <c r="K325" s="11">
        <v>15565300</v>
      </c>
      <c r="L325" s="11">
        <v>29132200</v>
      </c>
      <c r="M325" s="11">
        <v>31587900</v>
      </c>
      <c r="N325" s="11">
        <v>0</v>
      </c>
    </row>
    <row r="326" spans="1:14" x14ac:dyDescent="0.3">
      <c r="A326" s="10">
        <v>46027</v>
      </c>
      <c r="B326" t="s">
        <v>19</v>
      </c>
      <c r="C326" t="str">
        <f t="shared" si="15"/>
        <v>3798512613326</v>
      </c>
      <c r="D326" t="str">
        <f t="shared" si="16"/>
        <v>Client326</v>
      </c>
      <c r="E326" t="str">
        <f t="shared" si="17"/>
        <v>BOB326</v>
      </c>
      <c r="G326" s="11"/>
      <c r="H326" s="11">
        <v>0</v>
      </c>
      <c r="I326" s="11">
        <v>0</v>
      </c>
      <c r="J326" s="11">
        <v>0</v>
      </c>
      <c r="K326" s="11">
        <v>0</v>
      </c>
      <c r="L326" s="11">
        <v>4612600</v>
      </c>
      <c r="M326" s="11">
        <v>4298900</v>
      </c>
      <c r="N326" s="11">
        <v>300000</v>
      </c>
    </row>
    <row r="327" spans="1:14" x14ac:dyDescent="0.3">
      <c r="A327" s="10">
        <v>46027</v>
      </c>
      <c r="B327" t="s">
        <v>19</v>
      </c>
      <c r="C327" t="str">
        <f t="shared" si="15"/>
        <v>3798512613327</v>
      </c>
      <c r="D327" t="str">
        <f t="shared" si="16"/>
        <v>Client327</v>
      </c>
      <c r="E327" t="str">
        <f t="shared" si="17"/>
        <v>BOB327</v>
      </c>
      <c r="F327" t="s">
        <v>25</v>
      </c>
      <c r="G327" s="11" t="s">
        <v>21</v>
      </c>
      <c r="H327" s="11">
        <v>0</v>
      </c>
      <c r="I327" s="11">
        <v>0</v>
      </c>
      <c r="J327" s="11">
        <v>0</v>
      </c>
      <c r="K327" s="11">
        <v>0</v>
      </c>
      <c r="L327" s="11">
        <v>187600</v>
      </c>
      <c r="M327" s="11">
        <v>428000</v>
      </c>
      <c r="N327" s="11">
        <v>0</v>
      </c>
    </row>
    <row r="328" spans="1:14" x14ac:dyDescent="0.3">
      <c r="A328" s="10">
        <v>46027</v>
      </c>
      <c r="B328" t="s">
        <v>19</v>
      </c>
      <c r="C328" t="str">
        <f t="shared" si="15"/>
        <v>3798512613328</v>
      </c>
      <c r="D328" t="str">
        <f t="shared" si="16"/>
        <v>Client328</v>
      </c>
      <c r="E328" t="str">
        <f t="shared" si="17"/>
        <v>BOB328</v>
      </c>
      <c r="F328" t="s">
        <v>24</v>
      </c>
      <c r="G328" s="11" t="s">
        <v>64</v>
      </c>
      <c r="H328" s="11">
        <v>0</v>
      </c>
      <c r="I328" s="11">
        <v>0</v>
      </c>
      <c r="J328" s="11">
        <v>0</v>
      </c>
      <c r="K328" s="11">
        <v>950000</v>
      </c>
      <c r="L328" s="11">
        <v>688500</v>
      </c>
      <c r="M328" s="11">
        <v>1862300</v>
      </c>
      <c r="N328" s="11">
        <v>0</v>
      </c>
    </row>
    <row r="329" spans="1:14" x14ac:dyDescent="0.3">
      <c r="A329" s="10">
        <v>46027</v>
      </c>
      <c r="B329" t="s">
        <v>19</v>
      </c>
      <c r="C329" t="str">
        <f t="shared" si="15"/>
        <v>3798512613329</v>
      </c>
      <c r="D329" t="str">
        <f t="shared" si="16"/>
        <v>Client329</v>
      </c>
      <c r="E329" t="str">
        <f t="shared" si="17"/>
        <v>BOB329</v>
      </c>
      <c r="F329" t="s">
        <v>20</v>
      </c>
      <c r="G329" s="11" t="s">
        <v>21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x14ac:dyDescent="0.3">
      <c r="A330" s="10">
        <v>46027</v>
      </c>
      <c r="B330" t="s">
        <v>19</v>
      </c>
      <c r="C330" t="str">
        <f t="shared" si="15"/>
        <v>3798512613330</v>
      </c>
      <c r="D330" t="str">
        <f t="shared" si="16"/>
        <v>Client330</v>
      </c>
      <c r="E330" t="str">
        <f t="shared" si="17"/>
        <v>BOB330</v>
      </c>
      <c r="F330" t="s">
        <v>20</v>
      </c>
      <c r="G330" s="11" t="s">
        <v>21</v>
      </c>
      <c r="H330" s="11">
        <v>0</v>
      </c>
      <c r="I330" s="11">
        <v>0</v>
      </c>
      <c r="J330" s="11">
        <v>30525000</v>
      </c>
      <c r="K330" s="11">
        <v>0</v>
      </c>
      <c r="L330" s="11">
        <v>30747500</v>
      </c>
      <c r="M330" s="11">
        <v>0</v>
      </c>
      <c r="N330" s="11">
        <v>0</v>
      </c>
    </row>
    <row r="331" spans="1:14" x14ac:dyDescent="0.3">
      <c r="A331" s="10">
        <v>46027</v>
      </c>
      <c r="B331" t="s">
        <v>19</v>
      </c>
      <c r="C331" t="str">
        <f t="shared" si="15"/>
        <v>3798512613331</v>
      </c>
      <c r="D331" t="str">
        <f t="shared" si="16"/>
        <v>Client331</v>
      </c>
      <c r="E331" t="str">
        <f t="shared" si="17"/>
        <v>BOB331</v>
      </c>
      <c r="F331" t="s">
        <v>20</v>
      </c>
      <c r="G331" s="11" t="s">
        <v>21</v>
      </c>
      <c r="H331" s="11">
        <v>0</v>
      </c>
      <c r="I331" s="11">
        <v>0</v>
      </c>
      <c r="J331" s="11">
        <v>0</v>
      </c>
      <c r="K331" s="11">
        <v>300000</v>
      </c>
      <c r="L331" s="11">
        <v>3102900</v>
      </c>
      <c r="M331" s="11">
        <v>3588000</v>
      </c>
      <c r="N331" s="11">
        <v>0</v>
      </c>
    </row>
    <row r="332" spans="1:14" x14ac:dyDescent="0.3">
      <c r="A332" s="10">
        <v>46027</v>
      </c>
      <c r="B332" t="s">
        <v>19</v>
      </c>
      <c r="C332" t="str">
        <f t="shared" si="15"/>
        <v>3798512613332</v>
      </c>
      <c r="D332" t="str">
        <f t="shared" si="16"/>
        <v>Client332</v>
      </c>
      <c r="E332" t="str">
        <f t="shared" si="17"/>
        <v>BOB332</v>
      </c>
      <c r="F332" t="s">
        <v>20</v>
      </c>
      <c r="G332" s="11" t="s">
        <v>21</v>
      </c>
      <c r="H332" s="11">
        <v>0</v>
      </c>
      <c r="I332" s="11">
        <v>18027000</v>
      </c>
      <c r="J332" s="11">
        <v>0</v>
      </c>
      <c r="K332" s="11">
        <v>0</v>
      </c>
      <c r="L332" s="11">
        <v>17023900</v>
      </c>
      <c r="M332" s="11">
        <v>28037100</v>
      </c>
      <c r="N332" s="11">
        <v>0</v>
      </c>
    </row>
    <row r="333" spans="1:14" x14ac:dyDescent="0.3">
      <c r="A333" s="10">
        <v>46027</v>
      </c>
      <c r="B333" t="s">
        <v>19</v>
      </c>
      <c r="C333" t="str">
        <f t="shared" si="15"/>
        <v>3798512613333</v>
      </c>
      <c r="D333" t="str">
        <f t="shared" si="16"/>
        <v>Client333</v>
      </c>
      <c r="E333" t="str">
        <f t="shared" si="17"/>
        <v>BOB333</v>
      </c>
      <c r="F333" t="s">
        <v>26</v>
      </c>
      <c r="G333" s="11" t="s">
        <v>21</v>
      </c>
      <c r="H333" s="11">
        <v>0</v>
      </c>
      <c r="I333" s="11">
        <v>0</v>
      </c>
      <c r="J333" s="11">
        <v>0</v>
      </c>
      <c r="K333" s="11">
        <v>1001500</v>
      </c>
      <c r="L333" s="11">
        <v>21194400</v>
      </c>
      <c r="M333" s="11">
        <v>20579700</v>
      </c>
      <c r="N333" s="11">
        <v>0</v>
      </c>
    </row>
    <row r="334" spans="1:14" x14ac:dyDescent="0.3">
      <c r="A334" s="10">
        <v>46027</v>
      </c>
      <c r="B334" t="s">
        <v>19</v>
      </c>
      <c r="C334" t="str">
        <f t="shared" si="15"/>
        <v>3798512613334</v>
      </c>
      <c r="D334" t="str">
        <f t="shared" si="16"/>
        <v>Client334</v>
      </c>
      <c r="E334" t="str">
        <f t="shared" si="17"/>
        <v>BOB334</v>
      </c>
      <c r="F334" t="s">
        <v>24</v>
      </c>
      <c r="G334" s="11" t="s">
        <v>21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x14ac:dyDescent="0.3">
      <c r="A335" s="10">
        <v>46027</v>
      </c>
      <c r="B335" t="s">
        <v>19</v>
      </c>
      <c r="C335" t="str">
        <f t="shared" si="15"/>
        <v>3798512613335</v>
      </c>
      <c r="D335" t="str">
        <f t="shared" si="16"/>
        <v>Client335</v>
      </c>
      <c r="E335" t="str">
        <f t="shared" si="17"/>
        <v>BOB335</v>
      </c>
      <c r="F335" t="s">
        <v>25</v>
      </c>
      <c r="G335" s="11" t="s">
        <v>21</v>
      </c>
      <c r="H335" s="11">
        <v>0</v>
      </c>
      <c r="I335" s="11">
        <v>0</v>
      </c>
      <c r="J335" s="11">
        <v>0</v>
      </c>
      <c r="K335" s="11">
        <v>0</v>
      </c>
      <c r="L335" s="11">
        <v>400700</v>
      </c>
      <c r="M335" s="11">
        <v>658800</v>
      </c>
      <c r="N335" s="11">
        <v>0</v>
      </c>
    </row>
    <row r="336" spans="1:14" x14ac:dyDescent="0.3">
      <c r="A336" s="10">
        <v>46027</v>
      </c>
      <c r="B336" t="s">
        <v>19</v>
      </c>
      <c r="C336" t="str">
        <f t="shared" si="15"/>
        <v>3798512613336</v>
      </c>
      <c r="D336" t="str">
        <f t="shared" si="16"/>
        <v>Client336</v>
      </c>
      <c r="E336" t="str">
        <f t="shared" si="17"/>
        <v>BOB336</v>
      </c>
      <c r="G336" s="11"/>
      <c r="H336" s="11">
        <v>0</v>
      </c>
      <c r="I336" s="11">
        <v>0</v>
      </c>
      <c r="J336" s="11">
        <v>0</v>
      </c>
      <c r="K336" s="11">
        <v>0</v>
      </c>
      <c r="L336" s="11">
        <v>80000</v>
      </c>
      <c r="M336" s="11">
        <v>100000</v>
      </c>
      <c r="N336" s="11">
        <v>0</v>
      </c>
    </row>
    <row r="337" spans="1:14" x14ac:dyDescent="0.3">
      <c r="A337" s="10">
        <v>46027</v>
      </c>
      <c r="B337" t="s">
        <v>19</v>
      </c>
      <c r="C337" t="str">
        <f t="shared" si="15"/>
        <v>3798512613337</v>
      </c>
      <c r="D337" t="str">
        <f t="shared" si="16"/>
        <v>Client337</v>
      </c>
      <c r="E337" t="str">
        <f t="shared" si="17"/>
        <v>BOB337</v>
      </c>
      <c r="F337" t="s">
        <v>51</v>
      </c>
      <c r="G337" s="11" t="s">
        <v>21</v>
      </c>
      <c r="H337" s="11">
        <v>0</v>
      </c>
      <c r="I337" s="11">
        <v>0</v>
      </c>
      <c r="J337" s="11">
        <v>10900000</v>
      </c>
      <c r="K337" s="11">
        <v>0</v>
      </c>
      <c r="L337" s="11">
        <v>15168200</v>
      </c>
      <c r="M337" s="11">
        <v>3178000</v>
      </c>
      <c r="N337" s="11">
        <v>0</v>
      </c>
    </row>
    <row r="338" spans="1:14" x14ac:dyDescent="0.3">
      <c r="A338" s="10">
        <v>46027</v>
      </c>
      <c r="B338" t="s">
        <v>19</v>
      </c>
      <c r="C338" t="str">
        <f t="shared" si="15"/>
        <v>3798512613338</v>
      </c>
      <c r="D338" t="str">
        <f t="shared" si="16"/>
        <v>Client338</v>
      </c>
      <c r="E338" t="str">
        <f t="shared" si="17"/>
        <v>BOB338</v>
      </c>
      <c r="F338" t="s">
        <v>25</v>
      </c>
      <c r="G338" s="11" t="s">
        <v>21</v>
      </c>
      <c r="H338" s="11">
        <v>0</v>
      </c>
      <c r="I338" s="11">
        <v>2800000</v>
      </c>
      <c r="J338" s="11">
        <v>0</v>
      </c>
      <c r="K338" s="11">
        <v>0</v>
      </c>
      <c r="L338" s="11">
        <v>238400</v>
      </c>
      <c r="M338" s="11">
        <v>2933000</v>
      </c>
      <c r="N338" s="11">
        <v>0</v>
      </c>
    </row>
    <row r="339" spans="1:14" x14ac:dyDescent="0.3">
      <c r="A339" s="10">
        <v>46027</v>
      </c>
      <c r="B339" t="s">
        <v>19</v>
      </c>
      <c r="C339" t="str">
        <f t="shared" si="15"/>
        <v>3798512613339</v>
      </c>
      <c r="D339" t="str">
        <f t="shared" si="16"/>
        <v>Client339</v>
      </c>
      <c r="E339" t="str">
        <f t="shared" si="17"/>
        <v>BOB339</v>
      </c>
      <c r="G339" s="11"/>
      <c r="H339" s="11">
        <v>0</v>
      </c>
      <c r="I339" s="11">
        <v>0</v>
      </c>
      <c r="J339" s="11">
        <v>3000000</v>
      </c>
      <c r="K339" s="11">
        <v>1600000</v>
      </c>
      <c r="L339" s="11">
        <v>5963400</v>
      </c>
      <c r="M339" s="11">
        <v>4659900</v>
      </c>
      <c r="N339" s="11">
        <v>0</v>
      </c>
    </row>
    <row r="340" spans="1:14" x14ac:dyDescent="0.3">
      <c r="A340" s="10">
        <v>46027</v>
      </c>
      <c r="B340" t="s">
        <v>19</v>
      </c>
      <c r="C340" t="str">
        <f t="shared" si="15"/>
        <v>3798512613340</v>
      </c>
      <c r="D340" t="str">
        <f t="shared" si="16"/>
        <v>Client340</v>
      </c>
      <c r="E340" t="str">
        <f t="shared" si="17"/>
        <v>BOB340</v>
      </c>
      <c r="F340" t="s">
        <v>25</v>
      </c>
      <c r="G340" s="11" t="s">
        <v>21</v>
      </c>
      <c r="H340" s="11">
        <v>0</v>
      </c>
      <c r="I340" s="11">
        <v>0</v>
      </c>
      <c r="J340" s="11">
        <v>0</v>
      </c>
      <c r="K340" s="11">
        <v>0</v>
      </c>
      <c r="L340" s="11">
        <v>5029800</v>
      </c>
      <c r="M340" s="11">
        <v>4754700</v>
      </c>
      <c r="N340" s="11">
        <v>0</v>
      </c>
    </row>
    <row r="341" spans="1:14" x14ac:dyDescent="0.3">
      <c r="A341" s="10">
        <v>46027</v>
      </c>
      <c r="B341" t="s">
        <v>19</v>
      </c>
      <c r="C341" t="str">
        <f t="shared" si="15"/>
        <v>3798512613341</v>
      </c>
      <c r="D341" t="str">
        <f t="shared" si="16"/>
        <v>Client341</v>
      </c>
      <c r="E341" t="str">
        <f t="shared" si="17"/>
        <v>BOB341</v>
      </c>
      <c r="F341" t="s">
        <v>20</v>
      </c>
      <c r="G341" s="11" t="s">
        <v>21</v>
      </c>
      <c r="H341" s="11">
        <v>0</v>
      </c>
      <c r="I341" s="11">
        <v>0</v>
      </c>
      <c r="J341" s="11">
        <v>0</v>
      </c>
      <c r="K341" s="11">
        <v>0</v>
      </c>
      <c r="L341" s="11">
        <v>484400</v>
      </c>
      <c r="M341" s="11">
        <v>530000</v>
      </c>
      <c r="N341" s="11">
        <v>0</v>
      </c>
    </row>
    <row r="342" spans="1:14" x14ac:dyDescent="0.3">
      <c r="A342" s="10">
        <v>46027</v>
      </c>
      <c r="B342" t="s">
        <v>19</v>
      </c>
      <c r="C342" t="str">
        <f t="shared" si="15"/>
        <v>3798512613342</v>
      </c>
      <c r="D342" t="str">
        <f t="shared" si="16"/>
        <v>Client342</v>
      </c>
      <c r="E342" t="str">
        <f t="shared" si="17"/>
        <v>BOB342</v>
      </c>
      <c r="F342" t="s">
        <v>42</v>
      </c>
      <c r="G342" s="11" t="s">
        <v>21</v>
      </c>
      <c r="H342" s="11">
        <v>0</v>
      </c>
      <c r="I342" s="11">
        <v>0</v>
      </c>
      <c r="J342" s="11">
        <v>0</v>
      </c>
      <c r="K342" s="11">
        <v>0</v>
      </c>
      <c r="L342" s="11">
        <v>4701500</v>
      </c>
      <c r="M342" s="11">
        <v>4651400</v>
      </c>
      <c r="N342" s="11">
        <v>0</v>
      </c>
    </row>
    <row r="343" spans="1:14" x14ac:dyDescent="0.3">
      <c r="A343" s="10">
        <v>46027</v>
      </c>
      <c r="B343" t="s">
        <v>19</v>
      </c>
      <c r="C343" t="str">
        <f t="shared" si="15"/>
        <v>3798512613343</v>
      </c>
      <c r="D343" t="str">
        <f t="shared" si="16"/>
        <v>Client343</v>
      </c>
      <c r="E343" t="str">
        <f t="shared" si="17"/>
        <v>BOB343</v>
      </c>
      <c r="F343" t="s">
        <v>20</v>
      </c>
      <c r="G343" s="11" t="s">
        <v>21</v>
      </c>
      <c r="H343" s="11">
        <v>0</v>
      </c>
      <c r="I343" s="11">
        <v>0</v>
      </c>
      <c r="J343" s="11">
        <v>0</v>
      </c>
      <c r="K343" s="11">
        <v>1200000</v>
      </c>
      <c r="L343" s="11">
        <v>2684600</v>
      </c>
      <c r="M343" s="11">
        <v>3860500</v>
      </c>
      <c r="N343" s="11">
        <v>0</v>
      </c>
    </row>
    <row r="344" spans="1:14" x14ac:dyDescent="0.3">
      <c r="A344" s="10">
        <v>46027</v>
      </c>
      <c r="B344" t="s">
        <v>19</v>
      </c>
      <c r="C344" t="str">
        <f t="shared" si="15"/>
        <v>3798512613344</v>
      </c>
      <c r="D344" t="str">
        <f t="shared" si="16"/>
        <v>Client344</v>
      </c>
      <c r="E344" t="str">
        <f t="shared" si="17"/>
        <v>BOB344</v>
      </c>
      <c r="F344" t="s">
        <v>51</v>
      </c>
      <c r="G344" s="11" t="s">
        <v>21</v>
      </c>
      <c r="H344" s="11">
        <v>0</v>
      </c>
      <c r="I344" s="11">
        <v>0</v>
      </c>
      <c r="J344" s="11">
        <v>1000000</v>
      </c>
      <c r="K344" s="11">
        <v>0</v>
      </c>
      <c r="L344" s="11">
        <v>51887400</v>
      </c>
      <c r="M344" s="11">
        <v>51563100</v>
      </c>
      <c r="N344" s="11">
        <v>0</v>
      </c>
    </row>
    <row r="345" spans="1:14" x14ac:dyDescent="0.3">
      <c r="A345" s="10">
        <v>46027</v>
      </c>
      <c r="B345" t="s">
        <v>19</v>
      </c>
      <c r="C345" t="str">
        <f t="shared" si="15"/>
        <v>3798512613345</v>
      </c>
      <c r="D345" t="str">
        <f t="shared" si="16"/>
        <v>Client345</v>
      </c>
      <c r="E345" t="str">
        <f t="shared" si="17"/>
        <v>BOB345</v>
      </c>
      <c r="G345" s="11"/>
      <c r="H345" s="11">
        <v>0</v>
      </c>
      <c r="I345" s="11">
        <v>0</v>
      </c>
      <c r="J345" s="11">
        <v>0</v>
      </c>
      <c r="K345" s="11">
        <v>2802800</v>
      </c>
      <c r="L345" s="11">
        <v>2047100</v>
      </c>
      <c r="M345" s="11">
        <v>5138800</v>
      </c>
      <c r="N345" s="11">
        <v>0</v>
      </c>
    </row>
    <row r="346" spans="1:14" x14ac:dyDescent="0.3">
      <c r="A346" s="10">
        <v>46027</v>
      </c>
      <c r="B346" t="s">
        <v>19</v>
      </c>
      <c r="C346" t="str">
        <f t="shared" si="15"/>
        <v>3798512613346</v>
      </c>
      <c r="D346" t="str">
        <f t="shared" si="16"/>
        <v>Client346</v>
      </c>
      <c r="E346" t="str">
        <f t="shared" si="17"/>
        <v>BOB346</v>
      </c>
      <c r="F346" t="s">
        <v>22</v>
      </c>
      <c r="G346" s="11" t="s">
        <v>23</v>
      </c>
      <c r="H346" s="11">
        <v>0</v>
      </c>
      <c r="I346" s="11">
        <v>0</v>
      </c>
      <c r="J346" s="11">
        <v>7200000</v>
      </c>
      <c r="K346" s="11">
        <v>21500000</v>
      </c>
      <c r="L346" s="11">
        <v>30615800</v>
      </c>
      <c r="M346" s="11">
        <v>47232300</v>
      </c>
      <c r="N346" s="11">
        <v>0</v>
      </c>
    </row>
    <row r="347" spans="1:14" x14ac:dyDescent="0.3">
      <c r="A347" s="10">
        <v>46027</v>
      </c>
      <c r="B347" t="s">
        <v>19</v>
      </c>
      <c r="C347" t="str">
        <f t="shared" si="15"/>
        <v>3798512613347</v>
      </c>
      <c r="D347" t="str">
        <f t="shared" si="16"/>
        <v>Client347</v>
      </c>
      <c r="E347" t="str">
        <f t="shared" si="17"/>
        <v>BOB347</v>
      </c>
      <c r="F347" t="s">
        <v>25</v>
      </c>
      <c r="G347" s="11" t="s">
        <v>21</v>
      </c>
      <c r="H347" s="11">
        <v>0</v>
      </c>
      <c r="I347" s="11">
        <v>17025500</v>
      </c>
      <c r="J347" s="11">
        <v>0</v>
      </c>
      <c r="K347" s="11">
        <v>0</v>
      </c>
      <c r="L347" s="11">
        <v>31812700</v>
      </c>
      <c r="M347" s="11">
        <v>49498400</v>
      </c>
      <c r="N347" s="11">
        <v>0</v>
      </c>
    </row>
    <row r="348" spans="1:14" x14ac:dyDescent="0.3">
      <c r="A348" s="10">
        <v>46027</v>
      </c>
      <c r="B348" t="s">
        <v>19</v>
      </c>
      <c r="C348" t="str">
        <f t="shared" si="15"/>
        <v>3798512613348</v>
      </c>
      <c r="D348" t="str">
        <f t="shared" si="16"/>
        <v>Client348</v>
      </c>
      <c r="E348" t="str">
        <f t="shared" si="17"/>
        <v>BOB348</v>
      </c>
      <c r="F348" t="s">
        <v>20</v>
      </c>
      <c r="G348" s="11" t="s">
        <v>21</v>
      </c>
      <c r="H348" s="11">
        <v>0</v>
      </c>
      <c r="I348" s="11">
        <v>0</v>
      </c>
      <c r="J348" s="11">
        <v>0</v>
      </c>
      <c r="K348" s="11">
        <v>0</v>
      </c>
      <c r="L348" s="11">
        <v>2402900</v>
      </c>
      <c r="M348" s="11">
        <v>2481900</v>
      </c>
      <c r="N348" s="11">
        <v>0</v>
      </c>
    </row>
    <row r="349" spans="1:14" x14ac:dyDescent="0.3">
      <c r="A349" s="10">
        <v>46027</v>
      </c>
      <c r="B349" t="s">
        <v>19</v>
      </c>
      <c r="C349" t="str">
        <f t="shared" si="15"/>
        <v>3798512613349</v>
      </c>
      <c r="D349" t="str">
        <f t="shared" si="16"/>
        <v>Client349</v>
      </c>
      <c r="E349" t="str">
        <f t="shared" si="17"/>
        <v>BOB349</v>
      </c>
      <c r="F349" t="s">
        <v>20</v>
      </c>
      <c r="G349" s="11" t="s">
        <v>21</v>
      </c>
      <c r="H349" s="11">
        <v>0</v>
      </c>
      <c r="I349" s="11">
        <v>900000</v>
      </c>
      <c r="J349" s="11">
        <v>0</v>
      </c>
      <c r="K349" s="11">
        <v>0</v>
      </c>
      <c r="L349" s="11">
        <v>1465200</v>
      </c>
      <c r="M349" s="11">
        <v>4387500</v>
      </c>
      <c r="N349" s="11">
        <v>0</v>
      </c>
    </row>
    <row r="350" spans="1:14" x14ac:dyDescent="0.3">
      <c r="A350" s="10">
        <v>46027</v>
      </c>
      <c r="B350" t="s">
        <v>19</v>
      </c>
      <c r="C350" t="str">
        <f t="shared" si="15"/>
        <v>3798512613350</v>
      </c>
      <c r="D350" t="str">
        <f t="shared" si="16"/>
        <v>Client350</v>
      </c>
      <c r="E350" t="str">
        <f t="shared" si="17"/>
        <v>BOB350</v>
      </c>
      <c r="F350" t="s">
        <v>20</v>
      </c>
      <c r="G350" s="11" t="s">
        <v>21</v>
      </c>
      <c r="H350" s="11">
        <v>0</v>
      </c>
      <c r="I350" s="11">
        <v>0</v>
      </c>
      <c r="J350" s="11">
        <v>0</v>
      </c>
      <c r="K350" s="11">
        <v>0</v>
      </c>
      <c r="L350" s="11">
        <v>4021000</v>
      </c>
      <c r="M350" s="11">
        <v>4932000</v>
      </c>
      <c r="N350" s="11">
        <v>0</v>
      </c>
    </row>
    <row r="351" spans="1:14" x14ac:dyDescent="0.3">
      <c r="A351" s="10">
        <v>46027</v>
      </c>
      <c r="B351" t="s">
        <v>19</v>
      </c>
      <c r="C351" t="str">
        <f t="shared" si="15"/>
        <v>3798512613351</v>
      </c>
      <c r="D351" t="str">
        <f t="shared" si="16"/>
        <v>Client351</v>
      </c>
      <c r="E351" t="str">
        <f t="shared" si="17"/>
        <v>BOB351</v>
      </c>
      <c r="F351" t="s">
        <v>20</v>
      </c>
      <c r="G351" s="11" t="s">
        <v>21</v>
      </c>
      <c r="H351" s="11">
        <v>0</v>
      </c>
      <c r="I351" s="11">
        <v>0</v>
      </c>
      <c r="J351" s="11">
        <v>0</v>
      </c>
      <c r="K351" s="11">
        <v>7200000</v>
      </c>
      <c r="L351" s="11">
        <v>52891200</v>
      </c>
      <c r="M351" s="11">
        <v>64747800</v>
      </c>
      <c r="N351" s="11">
        <v>0</v>
      </c>
    </row>
    <row r="352" spans="1:14" x14ac:dyDescent="0.3">
      <c r="A352" s="10">
        <v>46027</v>
      </c>
      <c r="B352" t="s">
        <v>19</v>
      </c>
      <c r="C352" t="str">
        <f t="shared" si="15"/>
        <v>3798512613352</v>
      </c>
      <c r="D352" t="str">
        <f t="shared" si="16"/>
        <v>Client352</v>
      </c>
      <c r="E352" t="str">
        <f t="shared" si="17"/>
        <v>BOB352</v>
      </c>
      <c r="F352" t="s">
        <v>25</v>
      </c>
      <c r="G352" s="11" t="s">
        <v>21</v>
      </c>
      <c r="H352" s="11">
        <v>0</v>
      </c>
      <c r="I352" s="11">
        <v>0</v>
      </c>
      <c r="J352" s="11">
        <v>2000000</v>
      </c>
      <c r="K352" s="11">
        <v>10801000</v>
      </c>
      <c r="L352" s="11">
        <v>19088400</v>
      </c>
      <c r="M352" s="11">
        <v>28143800</v>
      </c>
      <c r="N352" s="11">
        <v>0</v>
      </c>
    </row>
    <row r="353" spans="1:14" x14ac:dyDescent="0.3">
      <c r="A353" s="10">
        <v>46027</v>
      </c>
      <c r="B353" t="s">
        <v>19</v>
      </c>
      <c r="C353" t="str">
        <f t="shared" si="15"/>
        <v>3798512613353</v>
      </c>
      <c r="D353" t="str">
        <f t="shared" si="16"/>
        <v>Client353</v>
      </c>
      <c r="E353" t="str">
        <f t="shared" si="17"/>
        <v>BOB353</v>
      </c>
      <c r="F353" t="s">
        <v>20</v>
      </c>
      <c r="G353" s="11" t="s">
        <v>21</v>
      </c>
      <c r="H353" s="11">
        <v>0</v>
      </c>
      <c r="I353" s="11">
        <v>0</v>
      </c>
      <c r="J353" s="11">
        <v>0</v>
      </c>
      <c r="K353" s="11">
        <v>5000000</v>
      </c>
      <c r="L353" s="11">
        <v>6167800</v>
      </c>
      <c r="M353" s="11">
        <v>13253700</v>
      </c>
      <c r="N353" s="11">
        <v>0</v>
      </c>
    </row>
    <row r="354" spans="1:14" x14ac:dyDescent="0.3">
      <c r="A354" s="10">
        <v>46027</v>
      </c>
      <c r="B354" t="s">
        <v>19</v>
      </c>
      <c r="C354" t="str">
        <f t="shared" si="15"/>
        <v>3798512613354</v>
      </c>
      <c r="D354" t="str">
        <f t="shared" si="16"/>
        <v>Client354</v>
      </c>
      <c r="E354" t="str">
        <f t="shared" si="17"/>
        <v>BOB354</v>
      </c>
      <c r="F354" t="s">
        <v>24</v>
      </c>
      <c r="G354" s="11" t="s">
        <v>21</v>
      </c>
      <c r="H354" s="11">
        <v>0</v>
      </c>
      <c r="I354" s="11">
        <v>0</v>
      </c>
      <c r="J354" s="11">
        <v>0</v>
      </c>
      <c r="K354" s="11">
        <v>0</v>
      </c>
      <c r="L354" s="11">
        <v>5363200</v>
      </c>
      <c r="M354" s="11">
        <v>7486700</v>
      </c>
      <c r="N354" s="11">
        <v>0</v>
      </c>
    </row>
    <row r="355" spans="1:14" x14ac:dyDescent="0.3">
      <c r="A355" s="10">
        <v>46027</v>
      </c>
      <c r="B355" t="s">
        <v>19</v>
      </c>
      <c r="C355" t="str">
        <f t="shared" si="15"/>
        <v>3798512613355</v>
      </c>
      <c r="D355" t="str">
        <f t="shared" si="16"/>
        <v>Client355</v>
      </c>
      <c r="E355" t="str">
        <f t="shared" si="17"/>
        <v>BOB355</v>
      </c>
      <c r="F355" t="s">
        <v>25</v>
      </c>
      <c r="G355" s="11" t="s">
        <v>21</v>
      </c>
      <c r="H355" s="11">
        <v>0</v>
      </c>
      <c r="I355" s="11">
        <v>2003000</v>
      </c>
      <c r="J355" s="11">
        <v>0</v>
      </c>
      <c r="K355" s="11">
        <v>2000000</v>
      </c>
      <c r="L355" s="11">
        <v>13110900</v>
      </c>
      <c r="M355" s="11">
        <v>18601000</v>
      </c>
      <c r="N355" s="11">
        <v>0</v>
      </c>
    </row>
    <row r="356" spans="1:14" x14ac:dyDescent="0.3">
      <c r="A356" s="10">
        <v>46027</v>
      </c>
      <c r="B356" t="s">
        <v>19</v>
      </c>
      <c r="C356" t="str">
        <f t="shared" si="15"/>
        <v>3798512613356</v>
      </c>
      <c r="D356" t="str">
        <f t="shared" si="16"/>
        <v>Client356</v>
      </c>
      <c r="E356" t="str">
        <f t="shared" si="17"/>
        <v>BOB356</v>
      </c>
      <c r="F356" t="s">
        <v>20</v>
      </c>
      <c r="G356" s="11" t="s">
        <v>21</v>
      </c>
      <c r="H356" s="11">
        <v>0</v>
      </c>
      <c r="I356" s="11">
        <v>0</v>
      </c>
      <c r="J356" s="11">
        <v>0</v>
      </c>
      <c r="K356" s="11">
        <v>0</v>
      </c>
      <c r="L356" s="11">
        <v>24498100</v>
      </c>
      <c r="M356" s="11">
        <v>24158500</v>
      </c>
      <c r="N356" s="11">
        <v>0</v>
      </c>
    </row>
    <row r="357" spans="1:14" x14ac:dyDescent="0.3">
      <c r="A357" s="10">
        <v>46027</v>
      </c>
      <c r="B357" t="s">
        <v>19</v>
      </c>
      <c r="C357" t="str">
        <f t="shared" si="15"/>
        <v>3798512613357</v>
      </c>
      <c r="D357" t="str">
        <f t="shared" si="16"/>
        <v>Client357</v>
      </c>
      <c r="E357" t="str">
        <f t="shared" si="17"/>
        <v>BOB357</v>
      </c>
      <c r="F357" t="s">
        <v>25</v>
      </c>
      <c r="G357" s="11" t="s">
        <v>21</v>
      </c>
      <c r="H357" s="11">
        <v>0</v>
      </c>
      <c r="I357" s="11">
        <v>0</v>
      </c>
      <c r="J357" s="11">
        <v>3091500</v>
      </c>
      <c r="K357" s="11">
        <v>1300000</v>
      </c>
      <c r="L357" s="11">
        <v>9005600</v>
      </c>
      <c r="M357" s="11">
        <v>7103100</v>
      </c>
      <c r="N357" s="11">
        <v>0</v>
      </c>
    </row>
    <row r="358" spans="1:14" x14ac:dyDescent="0.3">
      <c r="A358" s="10">
        <v>46027</v>
      </c>
      <c r="B358" t="s">
        <v>19</v>
      </c>
      <c r="C358" t="str">
        <f t="shared" si="15"/>
        <v>3798512613358</v>
      </c>
      <c r="D358" t="str">
        <f t="shared" si="16"/>
        <v>Client358</v>
      </c>
      <c r="E358" t="str">
        <f t="shared" si="17"/>
        <v>BOB358</v>
      </c>
      <c r="G358" s="11"/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1:14" x14ac:dyDescent="0.3">
      <c r="A359" s="10">
        <v>46027</v>
      </c>
      <c r="B359" t="s">
        <v>19</v>
      </c>
      <c r="C359" t="str">
        <f t="shared" si="15"/>
        <v>3798512613359</v>
      </c>
      <c r="D359" t="str">
        <f t="shared" si="16"/>
        <v>Client359</v>
      </c>
      <c r="E359" t="str">
        <f t="shared" si="17"/>
        <v>BOB359</v>
      </c>
      <c r="F359" t="s">
        <v>20</v>
      </c>
      <c r="G359" s="11" t="s">
        <v>21</v>
      </c>
      <c r="H359" s="11">
        <v>0</v>
      </c>
      <c r="I359" s="11">
        <v>3000000</v>
      </c>
      <c r="J359" s="11">
        <v>0</v>
      </c>
      <c r="K359" s="11">
        <v>3000000</v>
      </c>
      <c r="L359" s="11">
        <v>13761000</v>
      </c>
      <c r="M359" s="11">
        <v>20114800</v>
      </c>
      <c r="N359" s="11">
        <v>0</v>
      </c>
    </row>
    <row r="360" spans="1:14" x14ac:dyDescent="0.3">
      <c r="A360" s="10">
        <v>46027</v>
      </c>
      <c r="B360" t="s">
        <v>19</v>
      </c>
      <c r="C360" t="str">
        <f t="shared" si="15"/>
        <v>3798512613360</v>
      </c>
      <c r="D360" t="str">
        <f t="shared" si="16"/>
        <v>Client360</v>
      </c>
      <c r="E360" t="str">
        <f t="shared" si="17"/>
        <v>BOB360</v>
      </c>
      <c r="G360" s="11"/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</row>
    <row r="361" spans="1:14" x14ac:dyDescent="0.3">
      <c r="A361" s="10">
        <v>46027</v>
      </c>
      <c r="B361" t="s">
        <v>19</v>
      </c>
      <c r="C361" t="str">
        <f t="shared" si="15"/>
        <v>3798512613361</v>
      </c>
      <c r="D361" t="str">
        <f t="shared" si="16"/>
        <v>Client361</v>
      </c>
      <c r="E361" t="str">
        <f t="shared" si="17"/>
        <v>BOB361</v>
      </c>
      <c r="G361" s="11"/>
      <c r="H361" s="11">
        <v>0</v>
      </c>
      <c r="I361" s="11">
        <v>1001500</v>
      </c>
      <c r="J361" s="11">
        <v>0</v>
      </c>
      <c r="K361" s="11">
        <v>0</v>
      </c>
      <c r="L361" s="11">
        <v>8720600</v>
      </c>
      <c r="M361" s="11">
        <v>9871100</v>
      </c>
      <c r="N361" s="11">
        <v>0</v>
      </c>
    </row>
    <row r="362" spans="1:14" x14ac:dyDescent="0.3">
      <c r="A362" s="10">
        <v>46027</v>
      </c>
      <c r="B362" t="s">
        <v>19</v>
      </c>
      <c r="C362" t="str">
        <f t="shared" si="15"/>
        <v>3798512613362</v>
      </c>
      <c r="D362" t="str">
        <f t="shared" si="16"/>
        <v>Client362</v>
      </c>
      <c r="E362" t="str">
        <f t="shared" si="17"/>
        <v>BOB362</v>
      </c>
      <c r="F362" t="s">
        <v>20</v>
      </c>
      <c r="G362" s="11" t="s">
        <v>21</v>
      </c>
      <c r="H362" s="11">
        <v>0</v>
      </c>
      <c r="I362" s="11">
        <v>0</v>
      </c>
      <c r="J362" s="11">
        <v>0</v>
      </c>
      <c r="K362" s="11">
        <v>0</v>
      </c>
      <c r="L362" s="11">
        <v>3365200</v>
      </c>
      <c r="M362" s="11">
        <v>3283600</v>
      </c>
      <c r="N362" s="11">
        <v>0</v>
      </c>
    </row>
    <row r="363" spans="1:14" x14ac:dyDescent="0.3">
      <c r="A363" s="10">
        <v>46027</v>
      </c>
      <c r="B363" t="s">
        <v>19</v>
      </c>
      <c r="C363" t="str">
        <f t="shared" si="15"/>
        <v>3798512613363</v>
      </c>
      <c r="D363" t="str">
        <f t="shared" si="16"/>
        <v>Client363</v>
      </c>
      <c r="E363" t="str">
        <f t="shared" si="17"/>
        <v>BOB363</v>
      </c>
      <c r="F363" t="s">
        <v>22</v>
      </c>
      <c r="G363" s="11" t="s">
        <v>23</v>
      </c>
      <c r="H363" s="11">
        <v>0</v>
      </c>
      <c r="I363" s="11">
        <v>0</v>
      </c>
      <c r="J363" s="11">
        <v>2997500</v>
      </c>
      <c r="K363" s="11">
        <v>0</v>
      </c>
      <c r="L363" s="11">
        <v>3761200</v>
      </c>
      <c r="M363" s="11">
        <v>2064500</v>
      </c>
      <c r="N363" s="11">
        <v>0</v>
      </c>
    </row>
    <row r="364" spans="1:14" x14ac:dyDescent="0.3">
      <c r="A364" s="10">
        <v>46027</v>
      </c>
      <c r="B364" t="s">
        <v>19</v>
      </c>
      <c r="C364" t="str">
        <f t="shared" si="15"/>
        <v>3798512613364</v>
      </c>
      <c r="D364" t="str">
        <f t="shared" si="16"/>
        <v>Client364</v>
      </c>
      <c r="E364" t="str">
        <f t="shared" si="17"/>
        <v>BOB364</v>
      </c>
      <c r="F364" t="s">
        <v>20</v>
      </c>
      <c r="G364" s="11" t="s">
        <v>21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</row>
    <row r="365" spans="1:14" x14ac:dyDescent="0.3">
      <c r="A365" s="10">
        <v>46027</v>
      </c>
      <c r="B365" t="s">
        <v>19</v>
      </c>
      <c r="C365" t="str">
        <f t="shared" si="15"/>
        <v>3798512613365</v>
      </c>
      <c r="D365" t="str">
        <f t="shared" si="16"/>
        <v>Client365</v>
      </c>
      <c r="E365" t="str">
        <f t="shared" si="17"/>
        <v>BOB365</v>
      </c>
      <c r="F365" t="s">
        <v>24</v>
      </c>
      <c r="G365" s="11" t="s">
        <v>21</v>
      </c>
      <c r="H365" s="11">
        <v>0</v>
      </c>
      <c r="I365" s="11">
        <v>0</v>
      </c>
      <c r="J365" s="11">
        <v>1000000</v>
      </c>
      <c r="K365" s="11">
        <v>0</v>
      </c>
      <c r="L365" s="11">
        <v>50294300</v>
      </c>
      <c r="M365" s="11">
        <v>46506200</v>
      </c>
      <c r="N365" s="11">
        <v>0</v>
      </c>
    </row>
    <row r="366" spans="1:14" x14ac:dyDescent="0.3">
      <c r="A366" s="10">
        <v>46027</v>
      </c>
      <c r="B366" t="s">
        <v>19</v>
      </c>
      <c r="C366" t="str">
        <f t="shared" si="15"/>
        <v>3798512613366</v>
      </c>
      <c r="D366" t="str">
        <f t="shared" si="16"/>
        <v>Client366</v>
      </c>
      <c r="E366" t="str">
        <f t="shared" si="17"/>
        <v>BOB366</v>
      </c>
      <c r="F366" t="s">
        <v>26</v>
      </c>
      <c r="G366" s="11" t="s">
        <v>67</v>
      </c>
      <c r="H366" s="11">
        <v>0</v>
      </c>
      <c r="I366" s="11">
        <v>0</v>
      </c>
      <c r="J366" s="11">
        <v>0</v>
      </c>
      <c r="K366" s="11">
        <v>0</v>
      </c>
      <c r="L366" s="11">
        <v>209400</v>
      </c>
      <c r="M366" s="11">
        <v>151800</v>
      </c>
      <c r="N366" s="11">
        <v>0</v>
      </c>
    </row>
    <row r="367" spans="1:14" x14ac:dyDescent="0.3">
      <c r="A367" s="10">
        <v>46027</v>
      </c>
      <c r="B367" t="s">
        <v>19</v>
      </c>
      <c r="C367" t="str">
        <f t="shared" si="15"/>
        <v>3798512613367</v>
      </c>
      <c r="D367" t="str">
        <f t="shared" si="16"/>
        <v>Client367</v>
      </c>
      <c r="E367" t="str">
        <f t="shared" si="17"/>
        <v>BOB367</v>
      </c>
      <c r="F367" t="s">
        <v>22</v>
      </c>
      <c r="G367" s="11" t="s">
        <v>23</v>
      </c>
      <c r="H367" s="11">
        <v>0</v>
      </c>
      <c r="I367" s="11">
        <v>20000000</v>
      </c>
      <c r="J367" s="11">
        <v>186760668</v>
      </c>
      <c r="K367" s="11">
        <v>136881000</v>
      </c>
      <c r="L367" s="11">
        <v>308480300</v>
      </c>
      <c r="M367" s="11">
        <v>399110200</v>
      </c>
      <c r="N367" s="11">
        <v>0</v>
      </c>
    </row>
    <row r="368" spans="1:14" x14ac:dyDescent="0.3">
      <c r="A368" s="10">
        <v>46027</v>
      </c>
      <c r="B368" t="s">
        <v>19</v>
      </c>
      <c r="C368" t="str">
        <f t="shared" si="15"/>
        <v>3798512613368</v>
      </c>
      <c r="D368" t="str">
        <f t="shared" si="16"/>
        <v>Client368</v>
      </c>
      <c r="E368" t="str">
        <f t="shared" si="17"/>
        <v>BOB368</v>
      </c>
      <c r="F368" t="s">
        <v>25</v>
      </c>
      <c r="G368" s="11" t="s">
        <v>21</v>
      </c>
      <c r="H368" s="11">
        <v>0</v>
      </c>
      <c r="I368" s="11">
        <v>0</v>
      </c>
      <c r="J368" s="11">
        <v>0</v>
      </c>
      <c r="K368" s="11">
        <v>0</v>
      </c>
      <c r="L368" s="11">
        <v>5000</v>
      </c>
      <c r="M368" s="11">
        <v>0</v>
      </c>
      <c r="N368" s="11">
        <v>0</v>
      </c>
    </row>
    <row r="369" spans="1:14" x14ac:dyDescent="0.3">
      <c r="A369" s="10">
        <v>46027</v>
      </c>
      <c r="B369" t="s">
        <v>19</v>
      </c>
      <c r="C369" t="str">
        <f t="shared" si="15"/>
        <v>3798512613369</v>
      </c>
      <c r="D369" t="str">
        <f t="shared" si="16"/>
        <v>Client369</v>
      </c>
      <c r="E369" t="str">
        <f t="shared" si="17"/>
        <v>BOB369</v>
      </c>
      <c r="G369" s="11"/>
      <c r="H369" s="11">
        <v>0</v>
      </c>
      <c r="I369" s="11">
        <v>400000</v>
      </c>
      <c r="J369" s="11">
        <v>400000</v>
      </c>
      <c r="K369" s="11">
        <v>2500000</v>
      </c>
      <c r="L369" s="11">
        <v>5929100</v>
      </c>
      <c r="M369" s="11">
        <v>6957200</v>
      </c>
      <c r="N369" s="11">
        <v>0</v>
      </c>
    </row>
    <row r="370" spans="1:14" x14ac:dyDescent="0.3">
      <c r="A370" s="10">
        <v>46027</v>
      </c>
      <c r="B370" t="s">
        <v>19</v>
      </c>
      <c r="C370" t="str">
        <f t="shared" si="15"/>
        <v>3798512613370</v>
      </c>
      <c r="D370" t="str">
        <f t="shared" si="16"/>
        <v>Client370</v>
      </c>
      <c r="E370" t="str">
        <f t="shared" si="17"/>
        <v>BOB370</v>
      </c>
      <c r="F370" t="s">
        <v>20</v>
      </c>
      <c r="G370" s="11" t="s">
        <v>21</v>
      </c>
      <c r="H370" s="11">
        <v>0</v>
      </c>
      <c r="I370" s="11">
        <v>0</v>
      </c>
      <c r="J370" s="11">
        <v>1000000</v>
      </c>
      <c r="K370" s="11">
        <v>3205000</v>
      </c>
      <c r="L370" s="11">
        <v>1012000</v>
      </c>
      <c r="M370" s="11">
        <v>3205000</v>
      </c>
      <c r="N370" s="11">
        <v>0</v>
      </c>
    </row>
    <row r="371" spans="1:14" x14ac:dyDescent="0.3">
      <c r="A371" s="10">
        <v>46027</v>
      </c>
      <c r="B371" t="s">
        <v>19</v>
      </c>
      <c r="C371" t="str">
        <f t="shared" si="15"/>
        <v>3798512613371</v>
      </c>
      <c r="D371" t="str">
        <f t="shared" si="16"/>
        <v>Client371</v>
      </c>
      <c r="E371" t="str">
        <f t="shared" si="17"/>
        <v>BOB371</v>
      </c>
      <c r="F371" t="s">
        <v>20</v>
      </c>
      <c r="G371" s="11" t="s">
        <v>21</v>
      </c>
      <c r="H371" s="11">
        <v>0</v>
      </c>
      <c r="I371" s="11">
        <v>0</v>
      </c>
      <c r="J371" s="11">
        <v>0</v>
      </c>
      <c r="K371" s="11">
        <v>0</v>
      </c>
      <c r="L371" s="11">
        <v>4995500</v>
      </c>
      <c r="M371" s="11">
        <v>5281000</v>
      </c>
      <c r="N371" s="11">
        <v>0</v>
      </c>
    </row>
    <row r="372" spans="1:14" x14ac:dyDescent="0.3">
      <c r="A372" s="10">
        <v>46027</v>
      </c>
      <c r="B372" t="s">
        <v>19</v>
      </c>
      <c r="C372" t="str">
        <f t="shared" si="15"/>
        <v>3798512613372</v>
      </c>
      <c r="D372" t="str">
        <f t="shared" si="16"/>
        <v>Client372</v>
      </c>
      <c r="E372" t="str">
        <f t="shared" si="17"/>
        <v>BOB372</v>
      </c>
      <c r="F372" t="s">
        <v>24</v>
      </c>
      <c r="G372" s="11" t="s">
        <v>21</v>
      </c>
      <c r="H372" s="11">
        <v>0</v>
      </c>
      <c r="I372" s="11">
        <v>32000000</v>
      </c>
      <c r="J372" s="11">
        <v>91870000</v>
      </c>
      <c r="K372" s="11">
        <v>93094900</v>
      </c>
      <c r="L372" s="11">
        <v>108456000</v>
      </c>
      <c r="M372" s="11">
        <v>56641100</v>
      </c>
      <c r="N372" s="11">
        <v>0</v>
      </c>
    </row>
    <row r="373" spans="1:14" x14ac:dyDescent="0.3">
      <c r="A373" s="10">
        <v>46027</v>
      </c>
      <c r="B373" t="s">
        <v>19</v>
      </c>
      <c r="C373" t="str">
        <f t="shared" si="15"/>
        <v>3798512613373</v>
      </c>
      <c r="D373" t="str">
        <f t="shared" si="16"/>
        <v>Client373</v>
      </c>
      <c r="E373" t="str">
        <f t="shared" si="17"/>
        <v>BOB373</v>
      </c>
      <c r="F373" t="s">
        <v>24</v>
      </c>
      <c r="G373" s="11" t="s">
        <v>64</v>
      </c>
      <c r="H373" s="11">
        <v>0</v>
      </c>
      <c r="I373" s="11">
        <v>0</v>
      </c>
      <c r="J373" s="11">
        <v>0</v>
      </c>
      <c r="K373" s="11">
        <v>9300000</v>
      </c>
      <c r="L373" s="11">
        <v>16357200</v>
      </c>
      <c r="M373" s="11">
        <v>19879300</v>
      </c>
      <c r="N373" s="11">
        <v>0</v>
      </c>
    </row>
    <row r="374" spans="1:14" x14ac:dyDescent="0.3">
      <c r="A374" s="10">
        <v>46027</v>
      </c>
      <c r="B374" t="s">
        <v>19</v>
      </c>
      <c r="C374" t="str">
        <f t="shared" si="15"/>
        <v>3798512613374</v>
      </c>
      <c r="D374" t="str">
        <f t="shared" si="16"/>
        <v>Client374</v>
      </c>
      <c r="E374" t="str">
        <f t="shared" si="17"/>
        <v>BOB374</v>
      </c>
      <c r="F374" t="s">
        <v>26</v>
      </c>
      <c r="G374" s="11" t="s">
        <v>21</v>
      </c>
      <c r="H374" s="11">
        <v>0</v>
      </c>
      <c r="I374" s="11">
        <v>0</v>
      </c>
      <c r="J374" s="11">
        <v>0</v>
      </c>
      <c r="K374" s="11">
        <v>0</v>
      </c>
      <c r="L374" s="11">
        <v>5100</v>
      </c>
      <c r="M374" s="11">
        <v>44000</v>
      </c>
      <c r="N374" s="11">
        <v>0</v>
      </c>
    </row>
    <row r="375" spans="1:14" x14ac:dyDescent="0.3">
      <c r="A375" s="10">
        <v>46027</v>
      </c>
      <c r="B375" t="s">
        <v>19</v>
      </c>
      <c r="C375" t="str">
        <f t="shared" si="15"/>
        <v>3798512613375</v>
      </c>
      <c r="D375" t="str">
        <f t="shared" si="16"/>
        <v>Client375</v>
      </c>
      <c r="E375" t="str">
        <f t="shared" si="17"/>
        <v>BOB375</v>
      </c>
      <c r="F375" t="s">
        <v>26</v>
      </c>
      <c r="G375" s="11" t="s">
        <v>21</v>
      </c>
      <c r="H375" s="11">
        <v>0</v>
      </c>
      <c r="I375" s="11">
        <v>0</v>
      </c>
      <c r="J375" s="11">
        <v>0</v>
      </c>
      <c r="K375" s="11">
        <v>0</v>
      </c>
      <c r="L375" s="11">
        <v>4516700</v>
      </c>
      <c r="M375" s="11">
        <v>3729300</v>
      </c>
      <c r="N375" s="11">
        <v>0</v>
      </c>
    </row>
    <row r="376" spans="1:14" x14ac:dyDescent="0.3">
      <c r="A376" s="10">
        <v>46027</v>
      </c>
      <c r="B376" t="s">
        <v>19</v>
      </c>
      <c r="C376" t="str">
        <f t="shared" si="15"/>
        <v>3798512613376</v>
      </c>
      <c r="D376" t="str">
        <f t="shared" si="16"/>
        <v>Client376</v>
      </c>
      <c r="E376" t="str">
        <f t="shared" si="17"/>
        <v>BOB376</v>
      </c>
      <c r="F376" t="s">
        <v>25</v>
      </c>
      <c r="G376" s="11" t="s">
        <v>21</v>
      </c>
      <c r="H376" s="11">
        <v>0</v>
      </c>
      <c r="I376" s="11">
        <v>0</v>
      </c>
      <c r="J376" s="11">
        <v>0</v>
      </c>
      <c r="K376" s="11">
        <v>0</v>
      </c>
      <c r="L376" s="11">
        <v>2625100</v>
      </c>
      <c r="M376" s="11">
        <v>1389400</v>
      </c>
      <c r="N376" s="11">
        <v>0</v>
      </c>
    </row>
    <row r="377" spans="1:14" x14ac:dyDescent="0.3">
      <c r="A377" s="10">
        <v>46027</v>
      </c>
      <c r="B377" t="s">
        <v>19</v>
      </c>
      <c r="C377" t="str">
        <f t="shared" si="15"/>
        <v>3798512613377</v>
      </c>
      <c r="D377" t="str">
        <f t="shared" si="16"/>
        <v>Client377</v>
      </c>
      <c r="E377" t="str">
        <f t="shared" si="17"/>
        <v>BOB377</v>
      </c>
      <c r="F377" t="s">
        <v>20</v>
      </c>
      <c r="G377" s="11" t="s">
        <v>21</v>
      </c>
      <c r="H377" s="11">
        <v>0</v>
      </c>
      <c r="I377" s="11">
        <v>0</v>
      </c>
      <c r="J377" s="11">
        <v>3500000</v>
      </c>
      <c r="K377" s="11">
        <v>0</v>
      </c>
      <c r="L377" s="11">
        <v>22562800</v>
      </c>
      <c r="M377" s="11">
        <v>23038000</v>
      </c>
      <c r="N377" s="11">
        <v>0</v>
      </c>
    </row>
    <row r="378" spans="1:14" x14ac:dyDescent="0.3">
      <c r="A378" s="10">
        <v>46027</v>
      </c>
      <c r="B378" t="s">
        <v>19</v>
      </c>
      <c r="C378" t="str">
        <f t="shared" si="15"/>
        <v>3798512613378</v>
      </c>
      <c r="D378" t="str">
        <f t="shared" si="16"/>
        <v>Client378</v>
      </c>
      <c r="E378" t="str">
        <f t="shared" si="17"/>
        <v>BOB378</v>
      </c>
      <c r="F378" t="s">
        <v>25</v>
      </c>
      <c r="G378" s="11" t="s">
        <v>21</v>
      </c>
      <c r="H378" s="11">
        <v>0</v>
      </c>
      <c r="I378" s="11">
        <v>0</v>
      </c>
      <c r="J378" s="11">
        <v>0</v>
      </c>
      <c r="K378" s="11">
        <v>0</v>
      </c>
      <c r="L378" s="11">
        <v>8165200</v>
      </c>
      <c r="M378" s="11">
        <v>6587000</v>
      </c>
      <c r="N378" s="11">
        <v>0</v>
      </c>
    </row>
    <row r="379" spans="1:14" x14ac:dyDescent="0.3">
      <c r="A379" s="10">
        <v>46027</v>
      </c>
      <c r="B379" t="s">
        <v>19</v>
      </c>
      <c r="C379" t="str">
        <f t="shared" si="15"/>
        <v>3798512613379</v>
      </c>
      <c r="D379" t="str">
        <f t="shared" si="16"/>
        <v>Client379</v>
      </c>
      <c r="E379" t="str">
        <f t="shared" si="17"/>
        <v>BOB379</v>
      </c>
      <c r="F379" t="s">
        <v>20</v>
      </c>
      <c r="G379" s="11" t="s">
        <v>21</v>
      </c>
      <c r="H379" s="11">
        <v>0</v>
      </c>
      <c r="I379" s="11">
        <v>0</v>
      </c>
      <c r="J379" s="11">
        <v>0</v>
      </c>
      <c r="K379" s="11">
        <v>0</v>
      </c>
      <c r="L379" s="11">
        <v>8703200</v>
      </c>
      <c r="M379" s="11">
        <v>8110300</v>
      </c>
      <c r="N379" s="11">
        <v>0</v>
      </c>
    </row>
    <row r="380" spans="1:14" x14ac:dyDescent="0.3">
      <c r="A380" s="10">
        <v>46027</v>
      </c>
      <c r="B380" t="s">
        <v>19</v>
      </c>
      <c r="C380" t="str">
        <f t="shared" si="15"/>
        <v>3798512613380</v>
      </c>
      <c r="D380" t="str">
        <f t="shared" si="16"/>
        <v>Client380</v>
      </c>
      <c r="E380" t="str">
        <f t="shared" si="17"/>
        <v>BOB380</v>
      </c>
      <c r="G380" s="11"/>
      <c r="H380" s="11">
        <v>0</v>
      </c>
      <c r="I380" s="11">
        <v>0</v>
      </c>
      <c r="J380" s="11">
        <v>0</v>
      </c>
      <c r="K380" s="11">
        <v>0</v>
      </c>
      <c r="L380" s="11">
        <v>2624200</v>
      </c>
      <c r="M380" s="11">
        <v>2709000</v>
      </c>
      <c r="N380" s="11">
        <v>0</v>
      </c>
    </row>
    <row r="381" spans="1:14" x14ac:dyDescent="0.3">
      <c r="A381" s="10">
        <v>46027</v>
      </c>
      <c r="B381" t="s">
        <v>19</v>
      </c>
      <c r="C381" t="str">
        <f t="shared" si="15"/>
        <v>3798512613381</v>
      </c>
      <c r="D381" t="str">
        <f t="shared" si="16"/>
        <v>Client381</v>
      </c>
      <c r="E381" t="str">
        <f t="shared" si="17"/>
        <v>BOB381</v>
      </c>
      <c r="F381" t="s">
        <v>20</v>
      </c>
      <c r="G381" s="11" t="s">
        <v>21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</row>
    <row r="382" spans="1:14" x14ac:dyDescent="0.3">
      <c r="A382" s="10">
        <v>46027</v>
      </c>
      <c r="B382" t="s">
        <v>19</v>
      </c>
      <c r="C382" t="str">
        <f t="shared" si="15"/>
        <v>3798512613382</v>
      </c>
      <c r="D382" t="str">
        <f t="shared" si="16"/>
        <v>Client382</v>
      </c>
      <c r="E382" t="str">
        <f t="shared" si="17"/>
        <v>BOB382</v>
      </c>
      <c r="G382" s="11"/>
      <c r="H382" s="11">
        <v>0</v>
      </c>
      <c r="I382" s="11">
        <v>0</v>
      </c>
      <c r="J382" s="11">
        <v>1200000</v>
      </c>
      <c r="K382" s="11">
        <v>1900000</v>
      </c>
      <c r="L382" s="11">
        <v>8603300</v>
      </c>
      <c r="M382" s="11">
        <v>9744100</v>
      </c>
      <c r="N382" s="11">
        <v>0</v>
      </c>
    </row>
    <row r="383" spans="1:14" x14ac:dyDescent="0.3">
      <c r="A383" s="10">
        <v>46027</v>
      </c>
      <c r="B383" t="s">
        <v>19</v>
      </c>
      <c r="C383" t="str">
        <f t="shared" si="15"/>
        <v>3798512613383</v>
      </c>
      <c r="D383" t="str">
        <f t="shared" si="16"/>
        <v>Client383</v>
      </c>
      <c r="E383" t="str">
        <f t="shared" si="17"/>
        <v>BOB383</v>
      </c>
      <c r="F383" t="s">
        <v>24</v>
      </c>
      <c r="G383" s="11" t="s">
        <v>21</v>
      </c>
      <c r="H383" s="11">
        <v>0</v>
      </c>
      <c r="I383" s="11">
        <v>0</v>
      </c>
      <c r="J383" s="11">
        <v>0</v>
      </c>
      <c r="K383" s="11">
        <v>0</v>
      </c>
      <c r="L383" s="11">
        <v>2742500</v>
      </c>
      <c r="M383" s="11">
        <v>2500500</v>
      </c>
      <c r="N383" s="11">
        <v>0</v>
      </c>
    </row>
    <row r="384" spans="1:14" x14ac:dyDescent="0.3">
      <c r="A384" s="10">
        <v>46027</v>
      </c>
      <c r="B384" t="s">
        <v>19</v>
      </c>
      <c r="C384" t="str">
        <f t="shared" si="15"/>
        <v>3798512613384</v>
      </c>
      <c r="D384" t="str">
        <f t="shared" si="16"/>
        <v>Client384</v>
      </c>
      <c r="E384" t="str">
        <f t="shared" si="17"/>
        <v>BOB384</v>
      </c>
      <c r="G384" s="11"/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</row>
    <row r="385" spans="1:14" x14ac:dyDescent="0.3">
      <c r="A385" s="10">
        <v>46027</v>
      </c>
      <c r="B385" t="s">
        <v>19</v>
      </c>
      <c r="C385" t="str">
        <f t="shared" si="15"/>
        <v>3798512613385</v>
      </c>
      <c r="D385" t="str">
        <f t="shared" si="16"/>
        <v>Client385</v>
      </c>
      <c r="E385" t="str">
        <f t="shared" si="17"/>
        <v>BOB385</v>
      </c>
      <c r="F385" t="s">
        <v>20</v>
      </c>
      <c r="G385" s="11" t="s">
        <v>21</v>
      </c>
      <c r="H385" s="11">
        <v>0</v>
      </c>
      <c r="I385" s="11">
        <v>0</v>
      </c>
      <c r="J385" s="11">
        <v>7000000</v>
      </c>
      <c r="K385" s="11">
        <v>2302300</v>
      </c>
      <c r="L385" s="11">
        <v>24911400</v>
      </c>
      <c r="M385" s="11">
        <v>12384000</v>
      </c>
      <c r="N385" s="11">
        <v>7400000</v>
      </c>
    </row>
    <row r="386" spans="1:14" x14ac:dyDescent="0.3">
      <c r="A386" s="10">
        <v>46027</v>
      </c>
      <c r="B386" t="s">
        <v>19</v>
      </c>
      <c r="C386" t="str">
        <f t="shared" si="15"/>
        <v>3798512613386</v>
      </c>
      <c r="D386" t="str">
        <f t="shared" si="16"/>
        <v>Client386</v>
      </c>
      <c r="E386" t="str">
        <f t="shared" si="17"/>
        <v>BOB386</v>
      </c>
      <c r="F386" t="s">
        <v>22</v>
      </c>
      <c r="G386" s="11" t="s">
        <v>23</v>
      </c>
      <c r="H386" s="11">
        <v>0</v>
      </c>
      <c r="I386" s="11">
        <v>0</v>
      </c>
      <c r="J386" s="11">
        <v>1000000</v>
      </c>
      <c r="K386" s="11">
        <v>1001000</v>
      </c>
      <c r="L386" s="11">
        <v>4920600</v>
      </c>
      <c r="M386" s="11">
        <v>5398300</v>
      </c>
      <c r="N386" s="11">
        <v>0</v>
      </c>
    </row>
    <row r="387" spans="1:14" x14ac:dyDescent="0.3">
      <c r="A387" s="10">
        <v>46027</v>
      </c>
      <c r="B387" t="s">
        <v>19</v>
      </c>
      <c r="C387" t="str">
        <f t="shared" ref="C387:C450" si="18" xml:space="preserve"> "3798512613" &amp; ROW()</f>
        <v>3798512613387</v>
      </c>
      <c r="D387" t="str">
        <f t="shared" ref="D387:D450" si="19">"Client"&amp;ROW()</f>
        <v>Client387</v>
      </c>
      <c r="E387" t="str">
        <f t="shared" ref="E387:E450" si="20">"BOB"&amp;ROW()</f>
        <v>BOB387</v>
      </c>
      <c r="F387" t="s">
        <v>22</v>
      </c>
      <c r="G387" s="11" t="s">
        <v>23</v>
      </c>
      <c r="H387" s="11">
        <v>0</v>
      </c>
      <c r="I387" s="11">
        <v>0</v>
      </c>
      <c r="J387" s="11">
        <v>3120000</v>
      </c>
      <c r="K387" s="11">
        <v>4904900</v>
      </c>
      <c r="L387" s="11">
        <v>14706200</v>
      </c>
      <c r="M387" s="11">
        <v>15955100</v>
      </c>
      <c r="N387" s="11">
        <v>0</v>
      </c>
    </row>
    <row r="388" spans="1:14" x14ac:dyDescent="0.3">
      <c r="A388" s="10">
        <v>46027</v>
      </c>
      <c r="B388" t="s">
        <v>19</v>
      </c>
      <c r="C388" t="str">
        <f t="shared" si="18"/>
        <v>3798512613388</v>
      </c>
      <c r="D388" t="str">
        <f t="shared" si="19"/>
        <v>Client388</v>
      </c>
      <c r="E388" t="str">
        <f t="shared" si="20"/>
        <v>BOB388</v>
      </c>
      <c r="F388" t="s">
        <v>22</v>
      </c>
      <c r="G388" s="11" t="s">
        <v>23</v>
      </c>
      <c r="H388" s="11">
        <v>0</v>
      </c>
      <c r="I388" s="11">
        <v>0</v>
      </c>
      <c r="J388" s="11">
        <v>0</v>
      </c>
      <c r="K388" s="11">
        <v>0</v>
      </c>
      <c r="L388" s="11">
        <v>11533700</v>
      </c>
      <c r="M388" s="11">
        <v>10991000</v>
      </c>
      <c r="N388" s="11">
        <v>0</v>
      </c>
    </row>
    <row r="389" spans="1:14" x14ac:dyDescent="0.3">
      <c r="A389" s="10">
        <v>46027</v>
      </c>
      <c r="B389" t="s">
        <v>19</v>
      </c>
      <c r="C389" t="str">
        <f t="shared" si="18"/>
        <v>3798512613389</v>
      </c>
      <c r="D389" t="str">
        <f t="shared" si="19"/>
        <v>Client389</v>
      </c>
      <c r="E389" t="str">
        <f t="shared" si="20"/>
        <v>BOB389</v>
      </c>
      <c r="F389" t="s">
        <v>25</v>
      </c>
      <c r="G389" s="11" t="s">
        <v>21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x14ac:dyDescent="0.3">
      <c r="A390" s="10">
        <v>46027</v>
      </c>
      <c r="B390" t="s">
        <v>19</v>
      </c>
      <c r="C390" t="str">
        <f t="shared" si="18"/>
        <v>3798512613390</v>
      </c>
      <c r="D390" t="str">
        <f t="shared" si="19"/>
        <v>Client390</v>
      </c>
      <c r="E390" t="str">
        <f t="shared" si="20"/>
        <v>BOB390</v>
      </c>
      <c r="F390" t="s">
        <v>25</v>
      </c>
      <c r="G390" s="11" t="s">
        <v>21</v>
      </c>
      <c r="H390" s="11">
        <v>0</v>
      </c>
      <c r="I390" s="11">
        <v>0</v>
      </c>
      <c r="J390" s="11">
        <v>800000</v>
      </c>
      <c r="K390" s="11">
        <v>7090000</v>
      </c>
      <c r="L390" s="11">
        <v>3435300</v>
      </c>
      <c r="M390" s="11">
        <v>8856000</v>
      </c>
      <c r="N390" s="11">
        <v>0</v>
      </c>
    </row>
    <row r="391" spans="1:14" x14ac:dyDescent="0.3">
      <c r="A391" s="10">
        <v>46027</v>
      </c>
      <c r="B391" t="s">
        <v>19</v>
      </c>
      <c r="C391" t="str">
        <f t="shared" si="18"/>
        <v>3798512613391</v>
      </c>
      <c r="D391" t="str">
        <f t="shared" si="19"/>
        <v>Client391</v>
      </c>
      <c r="E391" t="str">
        <f t="shared" si="20"/>
        <v>BOB391</v>
      </c>
      <c r="F391" t="s">
        <v>25</v>
      </c>
      <c r="G391" s="11" t="s">
        <v>21</v>
      </c>
      <c r="H391" s="11">
        <v>0</v>
      </c>
      <c r="I391" s="11">
        <v>0</v>
      </c>
      <c r="J391" s="11">
        <v>0</v>
      </c>
      <c r="K391" s="11">
        <v>0</v>
      </c>
      <c r="L391" s="11">
        <v>402600</v>
      </c>
      <c r="M391" s="11">
        <v>400000</v>
      </c>
      <c r="N391" s="11">
        <v>0</v>
      </c>
    </row>
    <row r="392" spans="1:14" x14ac:dyDescent="0.3">
      <c r="A392" s="10">
        <v>46027</v>
      </c>
      <c r="B392" t="s">
        <v>19</v>
      </c>
      <c r="C392" t="str">
        <f t="shared" si="18"/>
        <v>3798512613392</v>
      </c>
      <c r="D392" t="str">
        <f t="shared" si="19"/>
        <v>Client392</v>
      </c>
      <c r="E392" t="str">
        <f t="shared" si="20"/>
        <v>BOB392</v>
      </c>
      <c r="F392" t="s">
        <v>26</v>
      </c>
      <c r="G392" s="11" t="s">
        <v>46</v>
      </c>
      <c r="H392" s="11">
        <v>0</v>
      </c>
      <c r="I392" s="11">
        <v>0</v>
      </c>
      <c r="J392" s="11">
        <v>2000000</v>
      </c>
      <c r="K392" s="11">
        <v>6065000</v>
      </c>
      <c r="L392" s="11">
        <v>4020400</v>
      </c>
      <c r="M392" s="11">
        <v>8704800</v>
      </c>
      <c r="N392" s="11">
        <v>0</v>
      </c>
    </row>
    <row r="393" spans="1:14" x14ac:dyDescent="0.3">
      <c r="A393" s="10">
        <v>46027</v>
      </c>
      <c r="B393" t="s">
        <v>19</v>
      </c>
      <c r="C393" t="str">
        <f t="shared" si="18"/>
        <v>3798512613393</v>
      </c>
      <c r="D393" t="str">
        <f t="shared" si="19"/>
        <v>Client393</v>
      </c>
      <c r="E393" t="str">
        <f t="shared" si="20"/>
        <v>BOB393</v>
      </c>
      <c r="F393" t="s">
        <v>26</v>
      </c>
      <c r="G393" s="11" t="s">
        <v>21</v>
      </c>
      <c r="H393" s="11">
        <v>0</v>
      </c>
      <c r="I393" s="11">
        <v>0</v>
      </c>
      <c r="J393" s="11">
        <v>84400000</v>
      </c>
      <c r="K393" s="11">
        <v>0</v>
      </c>
      <c r="L393" s="11">
        <v>103230200</v>
      </c>
      <c r="M393" s="11">
        <v>16298100</v>
      </c>
      <c r="N393" s="11">
        <v>0</v>
      </c>
    </row>
    <row r="394" spans="1:14" x14ac:dyDescent="0.3">
      <c r="A394" s="10">
        <v>46027</v>
      </c>
      <c r="B394" t="s">
        <v>19</v>
      </c>
      <c r="C394" t="str">
        <f t="shared" si="18"/>
        <v>3798512613394</v>
      </c>
      <c r="D394" t="str">
        <f t="shared" si="19"/>
        <v>Client394</v>
      </c>
      <c r="E394" t="str">
        <f t="shared" si="20"/>
        <v>BOB394</v>
      </c>
      <c r="F394" t="s">
        <v>24</v>
      </c>
      <c r="G394" s="11" t="s">
        <v>55</v>
      </c>
      <c r="H394" s="11">
        <v>0</v>
      </c>
      <c r="I394" s="11">
        <v>0</v>
      </c>
      <c r="J394" s="11">
        <v>0</v>
      </c>
      <c r="K394" s="11">
        <v>400000</v>
      </c>
      <c r="L394" s="11">
        <v>10430900</v>
      </c>
      <c r="M394" s="11">
        <v>10533100</v>
      </c>
      <c r="N394" s="11">
        <v>0</v>
      </c>
    </row>
    <row r="395" spans="1:14" x14ac:dyDescent="0.3">
      <c r="A395" s="10">
        <v>46027</v>
      </c>
      <c r="B395" t="s">
        <v>19</v>
      </c>
      <c r="C395" t="str">
        <f t="shared" si="18"/>
        <v>3798512613395</v>
      </c>
      <c r="D395" t="str">
        <f t="shared" si="19"/>
        <v>Client395</v>
      </c>
      <c r="E395" t="str">
        <f t="shared" si="20"/>
        <v>BOB395</v>
      </c>
      <c r="F395" t="s">
        <v>24</v>
      </c>
      <c r="G395" s="11" t="s">
        <v>21</v>
      </c>
      <c r="H395" s="11">
        <v>0</v>
      </c>
      <c r="I395" s="11">
        <v>0</v>
      </c>
      <c r="J395" s="11">
        <v>0</v>
      </c>
      <c r="K395" s="11">
        <v>2000000</v>
      </c>
      <c r="L395" s="11">
        <v>10572600</v>
      </c>
      <c r="M395" s="11">
        <v>12033000</v>
      </c>
      <c r="N395" s="11">
        <v>0</v>
      </c>
    </row>
    <row r="396" spans="1:14" x14ac:dyDescent="0.3">
      <c r="A396" s="10">
        <v>46027</v>
      </c>
      <c r="B396" t="s">
        <v>19</v>
      </c>
      <c r="C396" t="str">
        <f t="shared" si="18"/>
        <v>3798512613396</v>
      </c>
      <c r="D396" t="str">
        <f t="shared" si="19"/>
        <v>Client396</v>
      </c>
      <c r="E396" t="str">
        <f t="shared" si="20"/>
        <v>BOB396</v>
      </c>
      <c r="F396" t="s">
        <v>20</v>
      </c>
      <c r="G396" s="11" t="s">
        <v>21</v>
      </c>
      <c r="H396" s="11">
        <v>0</v>
      </c>
      <c r="I396" s="11">
        <v>300000</v>
      </c>
      <c r="J396" s="11">
        <v>300000</v>
      </c>
      <c r="K396" s="11">
        <v>0</v>
      </c>
      <c r="L396" s="11">
        <v>179800</v>
      </c>
      <c r="M396" s="11">
        <v>177000</v>
      </c>
      <c r="N396" s="11">
        <v>0</v>
      </c>
    </row>
    <row r="397" spans="1:14" x14ac:dyDescent="0.3">
      <c r="A397" s="10">
        <v>46027</v>
      </c>
      <c r="B397" t="s">
        <v>19</v>
      </c>
      <c r="C397" t="str">
        <f t="shared" si="18"/>
        <v>3798512613397</v>
      </c>
      <c r="D397" t="str">
        <f t="shared" si="19"/>
        <v>Client397</v>
      </c>
      <c r="E397" t="str">
        <f t="shared" si="20"/>
        <v>BOB397</v>
      </c>
      <c r="F397" t="s">
        <v>25</v>
      </c>
      <c r="G397" s="11" t="s">
        <v>21</v>
      </c>
      <c r="H397" s="11">
        <v>0</v>
      </c>
      <c r="I397" s="11">
        <v>0</v>
      </c>
      <c r="J397" s="11">
        <v>0</v>
      </c>
      <c r="K397" s="11">
        <v>0</v>
      </c>
      <c r="L397" s="11">
        <v>2023200</v>
      </c>
      <c r="M397" s="11">
        <v>4679500</v>
      </c>
      <c r="N397" s="11">
        <v>0</v>
      </c>
    </row>
    <row r="398" spans="1:14" x14ac:dyDescent="0.3">
      <c r="A398" s="10">
        <v>46027</v>
      </c>
      <c r="B398" t="s">
        <v>19</v>
      </c>
      <c r="C398" t="str">
        <f t="shared" si="18"/>
        <v>3798512613398</v>
      </c>
      <c r="D398" t="str">
        <f t="shared" si="19"/>
        <v>Client398</v>
      </c>
      <c r="E398" t="str">
        <f t="shared" si="20"/>
        <v>BOB398</v>
      </c>
      <c r="F398" t="s">
        <v>25</v>
      </c>
      <c r="G398" s="11" t="s">
        <v>21</v>
      </c>
      <c r="H398" s="11">
        <v>0</v>
      </c>
      <c r="I398" s="11">
        <v>5007500</v>
      </c>
      <c r="J398" s="11">
        <v>0</v>
      </c>
      <c r="K398" s="11">
        <v>3012000</v>
      </c>
      <c r="L398" s="11">
        <v>18154100</v>
      </c>
      <c r="M398" s="11">
        <v>27294500</v>
      </c>
      <c r="N398" s="11">
        <v>0</v>
      </c>
    </row>
    <row r="399" spans="1:14" x14ac:dyDescent="0.3">
      <c r="A399" s="10">
        <v>46027</v>
      </c>
      <c r="B399" t="s">
        <v>19</v>
      </c>
      <c r="C399" t="str">
        <f t="shared" si="18"/>
        <v>3798512613399</v>
      </c>
      <c r="D399" t="str">
        <f t="shared" si="19"/>
        <v>Client399</v>
      </c>
      <c r="E399" t="str">
        <f t="shared" si="20"/>
        <v>BOB399</v>
      </c>
      <c r="F399" t="s">
        <v>24</v>
      </c>
      <c r="G399" s="11" t="s">
        <v>21</v>
      </c>
      <c r="H399" s="11">
        <v>0</v>
      </c>
      <c r="I399" s="11">
        <v>0</v>
      </c>
      <c r="J399" s="11">
        <v>0</v>
      </c>
      <c r="K399" s="11">
        <v>0</v>
      </c>
      <c r="L399" s="11">
        <v>7500900</v>
      </c>
      <c r="M399" s="11">
        <v>10094500</v>
      </c>
      <c r="N399" s="11">
        <v>0</v>
      </c>
    </row>
    <row r="400" spans="1:14" x14ac:dyDescent="0.3">
      <c r="A400" s="10">
        <v>46027</v>
      </c>
      <c r="B400" t="s">
        <v>19</v>
      </c>
      <c r="C400" t="str">
        <f t="shared" si="18"/>
        <v>3798512613400</v>
      </c>
      <c r="D400" t="str">
        <f t="shared" si="19"/>
        <v>Client400</v>
      </c>
      <c r="E400" t="str">
        <f t="shared" si="20"/>
        <v>BOB400</v>
      </c>
      <c r="F400" t="s">
        <v>24</v>
      </c>
      <c r="G400" s="11" t="s">
        <v>21</v>
      </c>
      <c r="H400" s="11">
        <v>0</v>
      </c>
      <c r="I400" s="11">
        <v>0</v>
      </c>
      <c r="J400" s="11">
        <v>0</v>
      </c>
      <c r="K400" s="11">
        <v>6000000</v>
      </c>
      <c r="L400" s="11">
        <v>1430000</v>
      </c>
      <c r="M400" s="11">
        <v>7150100</v>
      </c>
      <c r="N400" s="11">
        <v>0</v>
      </c>
    </row>
    <row r="401" spans="1:14" x14ac:dyDescent="0.3">
      <c r="A401" s="10">
        <v>46027</v>
      </c>
      <c r="B401" t="s">
        <v>19</v>
      </c>
      <c r="C401" t="str">
        <f t="shared" si="18"/>
        <v>3798512613401</v>
      </c>
      <c r="D401" t="str">
        <f t="shared" si="19"/>
        <v>Client401</v>
      </c>
      <c r="E401" t="str">
        <f t="shared" si="20"/>
        <v>BOB401</v>
      </c>
      <c r="F401" t="s">
        <v>42</v>
      </c>
      <c r="G401" s="11" t="s">
        <v>21</v>
      </c>
      <c r="H401" s="11">
        <v>1000000</v>
      </c>
      <c r="I401" s="11">
        <v>4049000</v>
      </c>
      <c r="J401" s="11">
        <v>20000000</v>
      </c>
      <c r="K401" s="11">
        <v>7804800</v>
      </c>
      <c r="L401" s="11">
        <v>14582300</v>
      </c>
      <c r="M401" s="11">
        <v>5080800</v>
      </c>
      <c r="N401" s="11">
        <v>0</v>
      </c>
    </row>
    <row r="402" spans="1:14" x14ac:dyDescent="0.3">
      <c r="A402" s="10">
        <v>46027</v>
      </c>
      <c r="B402" t="s">
        <v>19</v>
      </c>
      <c r="C402" t="str">
        <f t="shared" si="18"/>
        <v>3798512613402</v>
      </c>
      <c r="D402" t="str">
        <f t="shared" si="19"/>
        <v>Client402</v>
      </c>
      <c r="E402" t="str">
        <f t="shared" si="20"/>
        <v>BOB402</v>
      </c>
      <c r="F402" t="s">
        <v>22</v>
      </c>
      <c r="G402" s="11" t="s">
        <v>23</v>
      </c>
      <c r="H402" s="11">
        <v>0</v>
      </c>
      <c r="I402" s="11">
        <v>0</v>
      </c>
      <c r="J402" s="11">
        <v>0</v>
      </c>
      <c r="K402" s="11">
        <v>0</v>
      </c>
      <c r="L402" s="11">
        <v>1252200</v>
      </c>
      <c r="M402" s="11">
        <v>1870000</v>
      </c>
      <c r="N402" s="11">
        <v>0</v>
      </c>
    </row>
    <row r="403" spans="1:14" x14ac:dyDescent="0.3">
      <c r="A403" s="10">
        <v>46027</v>
      </c>
      <c r="B403" t="s">
        <v>19</v>
      </c>
      <c r="C403" t="str">
        <f t="shared" si="18"/>
        <v>3798512613403</v>
      </c>
      <c r="D403" t="str">
        <f t="shared" si="19"/>
        <v>Client403</v>
      </c>
      <c r="E403" t="str">
        <f t="shared" si="20"/>
        <v>BOB403</v>
      </c>
      <c r="F403" t="s">
        <v>20</v>
      </c>
      <c r="G403" s="11" t="s">
        <v>21</v>
      </c>
      <c r="H403" s="11">
        <v>0</v>
      </c>
      <c r="I403" s="11">
        <v>0</v>
      </c>
      <c r="J403" s="11">
        <v>400000</v>
      </c>
      <c r="K403" s="11">
        <v>3401500</v>
      </c>
      <c r="L403" s="11">
        <v>5392700</v>
      </c>
      <c r="M403" s="11">
        <v>6355600</v>
      </c>
      <c r="N403" s="11">
        <v>0</v>
      </c>
    </row>
    <row r="404" spans="1:14" x14ac:dyDescent="0.3">
      <c r="A404" s="10">
        <v>46027</v>
      </c>
      <c r="B404" t="s">
        <v>19</v>
      </c>
      <c r="C404" t="str">
        <f t="shared" si="18"/>
        <v>3798512613404</v>
      </c>
      <c r="D404" t="str">
        <f t="shared" si="19"/>
        <v>Client404</v>
      </c>
      <c r="E404" t="str">
        <f t="shared" si="20"/>
        <v>BOB404</v>
      </c>
      <c r="G404" s="11"/>
      <c r="H404" s="11">
        <v>0</v>
      </c>
      <c r="I404" s="11">
        <v>0</v>
      </c>
      <c r="J404" s="11">
        <v>1000000</v>
      </c>
      <c r="K404" s="11">
        <v>1000000</v>
      </c>
      <c r="L404" s="11">
        <v>15085500</v>
      </c>
      <c r="M404" s="11">
        <v>15184200</v>
      </c>
      <c r="N404" s="11">
        <v>0</v>
      </c>
    </row>
    <row r="405" spans="1:14" x14ac:dyDescent="0.3">
      <c r="A405" s="10">
        <v>46027</v>
      </c>
      <c r="B405" t="s">
        <v>19</v>
      </c>
      <c r="C405" t="str">
        <f t="shared" si="18"/>
        <v>3798512613405</v>
      </c>
      <c r="D405" t="str">
        <f t="shared" si="19"/>
        <v>Client405</v>
      </c>
      <c r="E405" t="str">
        <f t="shared" si="20"/>
        <v>BOB405</v>
      </c>
      <c r="F405" t="s">
        <v>26</v>
      </c>
      <c r="G405" s="11" t="s">
        <v>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x14ac:dyDescent="0.3">
      <c r="A406" s="10">
        <v>46027</v>
      </c>
      <c r="B406" t="s">
        <v>19</v>
      </c>
      <c r="C406" t="str">
        <f t="shared" si="18"/>
        <v>3798512613406</v>
      </c>
      <c r="D406" t="str">
        <f t="shared" si="19"/>
        <v>Client406</v>
      </c>
      <c r="E406" t="str">
        <f t="shared" si="20"/>
        <v>BOB406</v>
      </c>
      <c r="F406" t="s">
        <v>25</v>
      </c>
      <c r="G406" s="11" t="s">
        <v>21</v>
      </c>
      <c r="H406" s="11">
        <v>0</v>
      </c>
      <c r="I406" s="11">
        <v>0</v>
      </c>
      <c r="J406" s="11">
        <v>11860000</v>
      </c>
      <c r="K406" s="11">
        <v>6570000</v>
      </c>
      <c r="L406" s="11">
        <v>15493200</v>
      </c>
      <c r="M406" s="11">
        <v>10643200</v>
      </c>
      <c r="N406" s="11">
        <v>0</v>
      </c>
    </row>
    <row r="407" spans="1:14" x14ac:dyDescent="0.3">
      <c r="A407" s="10">
        <v>46027</v>
      </c>
      <c r="B407" t="s">
        <v>19</v>
      </c>
      <c r="C407" t="str">
        <f t="shared" si="18"/>
        <v>3798512613407</v>
      </c>
      <c r="D407" t="str">
        <f t="shared" si="19"/>
        <v>Client407</v>
      </c>
      <c r="E407" t="str">
        <f t="shared" si="20"/>
        <v>BOB407</v>
      </c>
      <c r="F407" t="s">
        <v>25</v>
      </c>
      <c r="G407" s="11" t="s">
        <v>21</v>
      </c>
      <c r="H407" s="11">
        <v>0</v>
      </c>
      <c r="I407" s="11">
        <v>0</v>
      </c>
      <c r="J407" s="11">
        <v>0</v>
      </c>
      <c r="K407" s="11">
        <v>0</v>
      </c>
      <c r="L407" s="11">
        <v>18709200</v>
      </c>
      <c r="M407" s="11">
        <v>18323700</v>
      </c>
      <c r="N407" s="11">
        <v>0</v>
      </c>
    </row>
    <row r="408" spans="1:14" x14ac:dyDescent="0.3">
      <c r="A408" s="10">
        <v>46027</v>
      </c>
      <c r="B408" t="s">
        <v>19</v>
      </c>
      <c r="C408" t="str">
        <f t="shared" si="18"/>
        <v>3798512613408</v>
      </c>
      <c r="D408" t="str">
        <f t="shared" si="19"/>
        <v>Client408</v>
      </c>
      <c r="E408" t="str">
        <f t="shared" si="20"/>
        <v>BOB408</v>
      </c>
      <c r="G408" s="11"/>
      <c r="H408" s="11">
        <v>0</v>
      </c>
      <c r="I408" s="11">
        <v>0</v>
      </c>
      <c r="J408" s="11">
        <v>0</v>
      </c>
      <c r="K408" s="11">
        <v>0</v>
      </c>
      <c r="L408" s="11">
        <v>7062600</v>
      </c>
      <c r="M408" s="11">
        <v>5490200</v>
      </c>
      <c r="N408" s="11">
        <v>0</v>
      </c>
    </row>
    <row r="409" spans="1:14" x14ac:dyDescent="0.3">
      <c r="A409" s="10">
        <v>46027</v>
      </c>
      <c r="B409" t="s">
        <v>19</v>
      </c>
      <c r="C409" t="str">
        <f t="shared" si="18"/>
        <v>3798512613409</v>
      </c>
      <c r="D409" t="str">
        <f t="shared" si="19"/>
        <v>Client409</v>
      </c>
      <c r="E409" t="str">
        <f t="shared" si="20"/>
        <v>BOB409</v>
      </c>
      <c r="G409" s="11"/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x14ac:dyDescent="0.3">
      <c r="A410" s="10">
        <v>46027</v>
      </c>
      <c r="B410" t="s">
        <v>19</v>
      </c>
      <c r="C410" t="str">
        <f t="shared" si="18"/>
        <v>3798512613410</v>
      </c>
      <c r="D410" t="str">
        <f t="shared" si="19"/>
        <v>Client410</v>
      </c>
      <c r="E410" t="str">
        <f t="shared" si="20"/>
        <v>BOB410</v>
      </c>
      <c r="G410" s="11"/>
      <c r="H410" s="11">
        <v>0</v>
      </c>
      <c r="I410" s="11">
        <v>0</v>
      </c>
      <c r="J410" s="11">
        <v>23374000</v>
      </c>
      <c r="K410" s="11">
        <v>10477500</v>
      </c>
      <c r="L410" s="11">
        <v>18399300</v>
      </c>
      <c r="M410" s="11">
        <v>5547300</v>
      </c>
      <c r="N410" s="11">
        <v>0</v>
      </c>
    </row>
    <row r="411" spans="1:14" x14ac:dyDescent="0.3">
      <c r="A411" s="10">
        <v>46027</v>
      </c>
      <c r="B411" t="s">
        <v>19</v>
      </c>
      <c r="C411" t="str">
        <f t="shared" si="18"/>
        <v>3798512613411</v>
      </c>
      <c r="D411" t="str">
        <f t="shared" si="19"/>
        <v>Client411</v>
      </c>
      <c r="E411" t="str">
        <f t="shared" si="20"/>
        <v>BOB411</v>
      </c>
      <c r="F411" t="s">
        <v>20</v>
      </c>
      <c r="G411" s="11" t="s">
        <v>21</v>
      </c>
      <c r="H411" s="11">
        <v>12000000</v>
      </c>
      <c r="I411" s="11">
        <v>10932000</v>
      </c>
      <c r="J411" s="11">
        <v>63447200</v>
      </c>
      <c r="K411" s="11">
        <v>1000000</v>
      </c>
      <c r="L411" s="11">
        <v>76106700</v>
      </c>
      <c r="M411" s="11">
        <v>12006500</v>
      </c>
      <c r="N411" s="11">
        <v>0</v>
      </c>
    </row>
    <row r="412" spans="1:14" x14ac:dyDescent="0.3">
      <c r="A412" s="10">
        <v>46027</v>
      </c>
      <c r="B412" t="s">
        <v>19</v>
      </c>
      <c r="C412" t="str">
        <f t="shared" si="18"/>
        <v>3798512613412</v>
      </c>
      <c r="D412" t="str">
        <f t="shared" si="19"/>
        <v>Client412</v>
      </c>
      <c r="E412" t="str">
        <f t="shared" si="20"/>
        <v>BOB412</v>
      </c>
      <c r="G412" s="11"/>
      <c r="H412" s="11">
        <v>0</v>
      </c>
      <c r="I412" s="11">
        <v>0</v>
      </c>
      <c r="J412" s="11">
        <v>0</v>
      </c>
      <c r="K412" s="11">
        <v>0</v>
      </c>
      <c r="L412" s="11">
        <v>101600</v>
      </c>
      <c r="M412" s="11">
        <v>140000</v>
      </c>
      <c r="N412" s="11">
        <v>0</v>
      </c>
    </row>
    <row r="413" spans="1:14" x14ac:dyDescent="0.3">
      <c r="A413" s="10">
        <v>46027</v>
      </c>
      <c r="B413" t="s">
        <v>19</v>
      </c>
      <c r="C413" t="str">
        <f t="shared" si="18"/>
        <v>3798512613413</v>
      </c>
      <c r="D413" t="str">
        <f t="shared" si="19"/>
        <v>Client413</v>
      </c>
      <c r="E413" t="str">
        <f t="shared" si="20"/>
        <v>BOB413</v>
      </c>
      <c r="F413" t="s">
        <v>20</v>
      </c>
      <c r="G413" s="11" t="s">
        <v>21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x14ac:dyDescent="0.3">
      <c r="A414" s="10">
        <v>46027</v>
      </c>
      <c r="B414" t="s">
        <v>19</v>
      </c>
      <c r="C414" t="str">
        <f t="shared" si="18"/>
        <v>3798512613414</v>
      </c>
      <c r="D414" t="str">
        <f t="shared" si="19"/>
        <v>Client414</v>
      </c>
      <c r="E414" t="str">
        <f t="shared" si="20"/>
        <v>BOB414</v>
      </c>
      <c r="G414" s="11"/>
      <c r="H414" s="11">
        <v>0</v>
      </c>
      <c r="I414" s="11">
        <v>0</v>
      </c>
      <c r="J414" s="11">
        <v>0</v>
      </c>
      <c r="K414" s="11">
        <v>0</v>
      </c>
      <c r="L414" s="11">
        <v>10119000</v>
      </c>
      <c r="M414" s="11">
        <v>10964000</v>
      </c>
      <c r="N414" s="11">
        <v>0</v>
      </c>
    </row>
    <row r="415" spans="1:14" x14ac:dyDescent="0.3">
      <c r="A415" s="10">
        <v>46027</v>
      </c>
      <c r="B415" t="s">
        <v>19</v>
      </c>
      <c r="C415" t="str">
        <f t="shared" si="18"/>
        <v>3798512613415</v>
      </c>
      <c r="D415" t="str">
        <f t="shared" si="19"/>
        <v>Client415</v>
      </c>
      <c r="E415" t="str">
        <f t="shared" si="20"/>
        <v>BOB415</v>
      </c>
      <c r="F415" t="s">
        <v>22</v>
      </c>
      <c r="G415" s="11" t="s">
        <v>23</v>
      </c>
      <c r="H415" s="11">
        <v>0</v>
      </c>
      <c r="I415" s="11">
        <v>0</v>
      </c>
      <c r="J415" s="11">
        <v>5994000</v>
      </c>
      <c r="K415" s="11">
        <v>0</v>
      </c>
      <c r="L415" s="11">
        <v>12792200</v>
      </c>
      <c r="M415" s="11">
        <v>7286300</v>
      </c>
      <c r="N415" s="11">
        <v>0</v>
      </c>
    </row>
    <row r="416" spans="1:14" x14ac:dyDescent="0.3">
      <c r="A416" s="10">
        <v>46027</v>
      </c>
      <c r="B416" t="s">
        <v>19</v>
      </c>
      <c r="C416" t="str">
        <f t="shared" si="18"/>
        <v>3798512613416</v>
      </c>
      <c r="D416" t="str">
        <f t="shared" si="19"/>
        <v>Client416</v>
      </c>
      <c r="E416" t="str">
        <f t="shared" si="20"/>
        <v>BOB416</v>
      </c>
      <c r="F416" t="s">
        <v>24</v>
      </c>
      <c r="G416" s="11" t="s">
        <v>21</v>
      </c>
      <c r="H416" s="11">
        <v>0</v>
      </c>
      <c r="I416" s="11">
        <v>0</v>
      </c>
      <c r="J416" s="11">
        <v>0</v>
      </c>
      <c r="K416" s="11">
        <v>1200000</v>
      </c>
      <c r="L416" s="11">
        <v>4795600</v>
      </c>
      <c r="M416" s="11">
        <v>6228200</v>
      </c>
      <c r="N416" s="11">
        <v>0</v>
      </c>
    </row>
    <row r="417" spans="1:14" x14ac:dyDescent="0.3">
      <c r="A417" s="10">
        <v>46027</v>
      </c>
      <c r="B417" t="s">
        <v>19</v>
      </c>
      <c r="C417" t="str">
        <f t="shared" si="18"/>
        <v>3798512613417</v>
      </c>
      <c r="D417" t="str">
        <f t="shared" si="19"/>
        <v>Client417</v>
      </c>
      <c r="E417" t="str">
        <f t="shared" si="20"/>
        <v>BOB417</v>
      </c>
      <c r="G417" s="11"/>
      <c r="H417" s="11">
        <v>0</v>
      </c>
      <c r="I417" s="11">
        <v>0</v>
      </c>
      <c r="J417" s="11">
        <v>1900000</v>
      </c>
      <c r="K417" s="11">
        <v>1900000</v>
      </c>
      <c r="L417" s="11">
        <v>3762500</v>
      </c>
      <c r="M417" s="11">
        <v>3905000</v>
      </c>
      <c r="N417" s="11">
        <v>0</v>
      </c>
    </row>
    <row r="418" spans="1:14" x14ac:dyDescent="0.3">
      <c r="A418" s="10">
        <v>46027</v>
      </c>
      <c r="B418" t="s">
        <v>19</v>
      </c>
      <c r="C418" t="str">
        <f t="shared" si="18"/>
        <v>3798512613418</v>
      </c>
      <c r="D418" t="str">
        <f t="shared" si="19"/>
        <v>Client418</v>
      </c>
      <c r="E418" t="str">
        <f t="shared" si="20"/>
        <v>BOB418</v>
      </c>
      <c r="F418" t="s">
        <v>24</v>
      </c>
      <c r="G418" s="11" t="s">
        <v>21</v>
      </c>
      <c r="H418" s="11">
        <v>0</v>
      </c>
      <c r="I418" s="11">
        <v>0</v>
      </c>
      <c r="J418" s="11">
        <v>0</v>
      </c>
      <c r="K418" s="11">
        <v>0</v>
      </c>
      <c r="L418" s="11">
        <v>876300</v>
      </c>
      <c r="M418" s="11">
        <v>725600</v>
      </c>
      <c r="N418" s="11">
        <v>0</v>
      </c>
    </row>
    <row r="419" spans="1:14" x14ac:dyDescent="0.3">
      <c r="A419" s="10">
        <v>46027</v>
      </c>
      <c r="B419" t="s">
        <v>19</v>
      </c>
      <c r="C419" t="str">
        <f t="shared" si="18"/>
        <v>3798512613419</v>
      </c>
      <c r="D419" t="str">
        <f t="shared" si="19"/>
        <v>Client419</v>
      </c>
      <c r="E419" t="str">
        <f t="shared" si="20"/>
        <v>BOB419</v>
      </c>
      <c r="F419" t="s">
        <v>25</v>
      </c>
      <c r="G419" s="11" t="s">
        <v>21</v>
      </c>
      <c r="H419" s="11">
        <v>0</v>
      </c>
      <c r="I419" s="11">
        <v>0</v>
      </c>
      <c r="J419" s="11">
        <v>200000</v>
      </c>
      <c r="K419" s="11">
        <v>0</v>
      </c>
      <c r="L419" s="11">
        <v>300700</v>
      </c>
      <c r="M419" s="11">
        <v>309000</v>
      </c>
      <c r="N419" s="11">
        <v>0</v>
      </c>
    </row>
    <row r="420" spans="1:14" x14ac:dyDescent="0.3">
      <c r="A420" s="10">
        <v>46027</v>
      </c>
      <c r="B420" t="s">
        <v>19</v>
      </c>
      <c r="C420" t="str">
        <f t="shared" si="18"/>
        <v>3798512613420</v>
      </c>
      <c r="D420" t="str">
        <f t="shared" si="19"/>
        <v>Client420</v>
      </c>
      <c r="E420" t="str">
        <f t="shared" si="20"/>
        <v>BOB420</v>
      </c>
      <c r="F420" t="s">
        <v>20</v>
      </c>
      <c r="G420" s="11" t="s">
        <v>21</v>
      </c>
      <c r="H420" s="11">
        <v>0</v>
      </c>
      <c r="I420" s="11">
        <v>0</v>
      </c>
      <c r="J420" s="11">
        <v>12000000</v>
      </c>
      <c r="K420" s="11">
        <v>7500000</v>
      </c>
      <c r="L420" s="11">
        <v>24733000</v>
      </c>
      <c r="M420" s="11">
        <v>5000</v>
      </c>
      <c r="N420" s="11">
        <v>0</v>
      </c>
    </row>
    <row r="421" spans="1:14" x14ac:dyDescent="0.3">
      <c r="A421" s="10">
        <v>46027</v>
      </c>
      <c r="B421" t="s">
        <v>19</v>
      </c>
      <c r="C421" t="str">
        <f t="shared" si="18"/>
        <v>3798512613421</v>
      </c>
      <c r="D421" t="str">
        <f t="shared" si="19"/>
        <v>Client421</v>
      </c>
      <c r="E421" t="str">
        <f t="shared" si="20"/>
        <v>BOB421</v>
      </c>
      <c r="F421" t="s">
        <v>25</v>
      </c>
      <c r="G421" s="11" t="s">
        <v>21</v>
      </c>
      <c r="H421" s="11">
        <v>0</v>
      </c>
      <c r="I421" s="11">
        <v>0</v>
      </c>
      <c r="J421" s="11">
        <v>1200000</v>
      </c>
      <c r="K421" s="11">
        <v>1200000</v>
      </c>
      <c r="L421" s="11">
        <v>5163700</v>
      </c>
      <c r="M421" s="11">
        <v>9839400</v>
      </c>
      <c r="N421" s="11">
        <v>0</v>
      </c>
    </row>
    <row r="422" spans="1:14" x14ac:dyDescent="0.3">
      <c r="A422" s="10">
        <v>46027</v>
      </c>
      <c r="B422" t="s">
        <v>19</v>
      </c>
      <c r="C422" t="str">
        <f t="shared" si="18"/>
        <v>3798512613422</v>
      </c>
      <c r="D422" t="str">
        <f t="shared" si="19"/>
        <v>Client422</v>
      </c>
      <c r="E422" t="str">
        <f t="shared" si="20"/>
        <v>BOB422</v>
      </c>
      <c r="F422" t="s">
        <v>22</v>
      </c>
      <c r="G422" s="11" t="s">
        <v>23</v>
      </c>
      <c r="H422" s="11">
        <v>0</v>
      </c>
      <c r="I422" s="11">
        <v>0</v>
      </c>
      <c r="J422" s="11">
        <v>0</v>
      </c>
      <c r="K422" s="11">
        <v>0</v>
      </c>
      <c r="L422" s="11">
        <v>5030200</v>
      </c>
      <c r="M422" s="11">
        <v>5351200</v>
      </c>
      <c r="N422" s="11">
        <v>0</v>
      </c>
    </row>
    <row r="423" spans="1:14" x14ac:dyDescent="0.3">
      <c r="A423" s="10">
        <v>46027</v>
      </c>
      <c r="B423" t="s">
        <v>19</v>
      </c>
      <c r="C423" t="str">
        <f t="shared" si="18"/>
        <v>3798512613423</v>
      </c>
      <c r="D423" t="str">
        <f t="shared" si="19"/>
        <v>Client423</v>
      </c>
      <c r="E423" t="str">
        <f t="shared" si="20"/>
        <v>BOB423</v>
      </c>
      <c r="F423" t="s">
        <v>25</v>
      </c>
      <c r="G423" s="11" t="s">
        <v>21</v>
      </c>
      <c r="H423" s="11">
        <v>0</v>
      </c>
      <c r="I423" s="11">
        <v>0</v>
      </c>
      <c r="J423" s="11">
        <v>0</v>
      </c>
      <c r="K423" s="11">
        <v>0</v>
      </c>
      <c r="L423" s="11">
        <v>35064000</v>
      </c>
      <c r="M423" s="11">
        <v>42244400</v>
      </c>
      <c r="N423" s="11">
        <v>0</v>
      </c>
    </row>
    <row r="424" spans="1:14" x14ac:dyDescent="0.3">
      <c r="A424" s="10">
        <v>46027</v>
      </c>
      <c r="B424" t="s">
        <v>19</v>
      </c>
      <c r="C424" t="str">
        <f t="shared" si="18"/>
        <v>3798512613424</v>
      </c>
      <c r="D424" t="str">
        <f t="shared" si="19"/>
        <v>Client424</v>
      </c>
      <c r="E424" t="str">
        <f t="shared" si="20"/>
        <v>BOB424</v>
      </c>
      <c r="F424" t="s">
        <v>24</v>
      </c>
      <c r="G424" s="11" t="s">
        <v>21</v>
      </c>
      <c r="H424" s="11">
        <v>0</v>
      </c>
      <c r="I424" s="11">
        <v>0</v>
      </c>
      <c r="J424" s="11">
        <v>0</v>
      </c>
      <c r="K424" s="11">
        <v>2003000</v>
      </c>
      <c r="L424" s="11">
        <v>8206900</v>
      </c>
      <c r="M424" s="11">
        <v>8956800</v>
      </c>
      <c r="N424" s="11">
        <v>0</v>
      </c>
    </row>
    <row r="425" spans="1:14" x14ac:dyDescent="0.3">
      <c r="A425" s="10">
        <v>46027</v>
      </c>
      <c r="B425" t="s">
        <v>19</v>
      </c>
      <c r="C425" t="str">
        <f t="shared" si="18"/>
        <v>3798512613425</v>
      </c>
      <c r="D425" t="str">
        <f t="shared" si="19"/>
        <v>Client425</v>
      </c>
      <c r="E425" t="str">
        <f t="shared" si="20"/>
        <v>BOB425</v>
      </c>
      <c r="F425" t="s">
        <v>20</v>
      </c>
      <c r="G425" s="11" t="s">
        <v>21</v>
      </c>
      <c r="H425" s="11">
        <v>0</v>
      </c>
      <c r="I425" s="11">
        <v>0</v>
      </c>
      <c r="J425" s="11">
        <v>0</v>
      </c>
      <c r="K425" s="11">
        <v>0</v>
      </c>
      <c r="L425" s="11">
        <v>4169500</v>
      </c>
      <c r="M425" s="11">
        <v>4153600</v>
      </c>
      <c r="N425" s="11">
        <v>0</v>
      </c>
    </row>
    <row r="426" spans="1:14" x14ac:dyDescent="0.3">
      <c r="A426" s="10">
        <v>46027</v>
      </c>
      <c r="B426" t="s">
        <v>19</v>
      </c>
      <c r="C426" t="str">
        <f t="shared" si="18"/>
        <v>3798512613426</v>
      </c>
      <c r="D426" t="str">
        <f t="shared" si="19"/>
        <v>Client426</v>
      </c>
      <c r="E426" t="str">
        <f t="shared" si="20"/>
        <v>BOB426</v>
      </c>
      <c r="G426" s="11"/>
      <c r="H426" s="11">
        <v>0</v>
      </c>
      <c r="I426" s="11">
        <v>0</v>
      </c>
      <c r="J426" s="11">
        <v>0</v>
      </c>
      <c r="K426" s="11">
        <v>0</v>
      </c>
      <c r="L426" s="11">
        <v>4431000</v>
      </c>
      <c r="M426" s="11">
        <v>7811100</v>
      </c>
      <c r="N426" s="11">
        <v>0</v>
      </c>
    </row>
    <row r="427" spans="1:14" x14ac:dyDescent="0.3">
      <c r="A427" s="10">
        <v>46027</v>
      </c>
      <c r="B427" t="s">
        <v>19</v>
      </c>
      <c r="C427" t="str">
        <f t="shared" si="18"/>
        <v>3798512613427</v>
      </c>
      <c r="D427" t="str">
        <f t="shared" si="19"/>
        <v>Client427</v>
      </c>
      <c r="E427" t="str">
        <f t="shared" si="20"/>
        <v>BOB427</v>
      </c>
      <c r="F427" t="s">
        <v>42</v>
      </c>
      <c r="G427" s="11" t="s">
        <v>43</v>
      </c>
      <c r="H427" s="11">
        <v>0</v>
      </c>
      <c r="I427" s="11">
        <v>8012000</v>
      </c>
      <c r="J427" s="11">
        <v>0</v>
      </c>
      <c r="K427" s="11">
        <v>0</v>
      </c>
      <c r="L427" s="11">
        <v>1985100</v>
      </c>
      <c r="M427" s="11">
        <v>8056900</v>
      </c>
      <c r="N427" s="11">
        <v>0</v>
      </c>
    </row>
    <row r="428" spans="1:14" x14ac:dyDescent="0.3">
      <c r="A428" s="10">
        <v>46027</v>
      </c>
      <c r="B428" t="s">
        <v>19</v>
      </c>
      <c r="C428" t="str">
        <f t="shared" si="18"/>
        <v>3798512613428</v>
      </c>
      <c r="D428" t="str">
        <f t="shared" si="19"/>
        <v>Client428</v>
      </c>
      <c r="E428" t="str">
        <f t="shared" si="20"/>
        <v>BOB428</v>
      </c>
      <c r="F428" t="s">
        <v>20</v>
      </c>
      <c r="G428" s="11" t="s">
        <v>21</v>
      </c>
      <c r="H428" s="11">
        <v>0</v>
      </c>
      <c r="I428" s="11">
        <v>1301500</v>
      </c>
      <c r="J428" s="11">
        <v>0</v>
      </c>
      <c r="K428" s="11">
        <v>0</v>
      </c>
      <c r="L428" s="11">
        <v>4901900</v>
      </c>
      <c r="M428" s="11">
        <v>6636700</v>
      </c>
      <c r="N428" s="11">
        <v>0</v>
      </c>
    </row>
    <row r="429" spans="1:14" x14ac:dyDescent="0.3">
      <c r="A429" s="10">
        <v>46027</v>
      </c>
      <c r="B429" t="s">
        <v>19</v>
      </c>
      <c r="C429" t="str">
        <f t="shared" si="18"/>
        <v>3798512613429</v>
      </c>
      <c r="D429" t="str">
        <f t="shared" si="19"/>
        <v>Client429</v>
      </c>
      <c r="E429" t="str">
        <f t="shared" si="20"/>
        <v>BOB429</v>
      </c>
      <c r="F429" t="s">
        <v>24</v>
      </c>
      <c r="G429" s="11" t="s">
        <v>21</v>
      </c>
      <c r="H429" s="11">
        <v>0</v>
      </c>
      <c r="I429" s="11">
        <v>0</v>
      </c>
      <c r="J429" s="11">
        <v>0</v>
      </c>
      <c r="K429" s="11">
        <v>0</v>
      </c>
      <c r="L429" s="11">
        <v>6585000</v>
      </c>
      <c r="M429" s="11">
        <v>5919600</v>
      </c>
      <c r="N429" s="11">
        <v>0</v>
      </c>
    </row>
    <row r="430" spans="1:14" x14ac:dyDescent="0.3">
      <c r="A430" s="10">
        <v>46027</v>
      </c>
      <c r="B430" t="s">
        <v>19</v>
      </c>
      <c r="C430" t="str">
        <f t="shared" si="18"/>
        <v>3798512613430</v>
      </c>
      <c r="D430" t="str">
        <f t="shared" si="19"/>
        <v>Client430</v>
      </c>
      <c r="E430" t="str">
        <f t="shared" si="20"/>
        <v>BOB430</v>
      </c>
      <c r="F430" t="s">
        <v>20</v>
      </c>
      <c r="G430" s="11" t="s">
        <v>21</v>
      </c>
      <c r="H430" s="11">
        <v>0</v>
      </c>
      <c r="I430" s="11">
        <v>0</v>
      </c>
      <c r="J430" s="11">
        <v>0</v>
      </c>
      <c r="K430" s="11">
        <v>604000</v>
      </c>
      <c r="L430" s="11">
        <v>2777800</v>
      </c>
      <c r="M430" s="11">
        <v>3387300</v>
      </c>
      <c r="N430" s="11">
        <v>0</v>
      </c>
    </row>
    <row r="431" spans="1:14" x14ac:dyDescent="0.3">
      <c r="A431" s="10">
        <v>46027</v>
      </c>
      <c r="B431" t="s">
        <v>19</v>
      </c>
      <c r="C431" t="str">
        <f t="shared" si="18"/>
        <v>3798512613431</v>
      </c>
      <c r="D431" t="str">
        <f t="shared" si="19"/>
        <v>Client431</v>
      </c>
      <c r="E431" t="str">
        <f t="shared" si="20"/>
        <v>BOB431</v>
      </c>
      <c r="G431" s="11"/>
      <c r="H431" s="11">
        <v>0</v>
      </c>
      <c r="I431" s="11">
        <v>0</v>
      </c>
      <c r="J431" s="11">
        <v>0</v>
      </c>
      <c r="K431" s="11">
        <v>1401400</v>
      </c>
      <c r="L431" s="11">
        <v>1332100</v>
      </c>
      <c r="M431" s="11">
        <v>2580000</v>
      </c>
      <c r="N431" s="11">
        <v>0</v>
      </c>
    </row>
    <row r="432" spans="1:14" x14ac:dyDescent="0.3">
      <c r="A432" s="10">
        <v>46027</v>
      </c>
      <c r="B432" t="s">
        <v>19</v>
      </c>
      <c r="C432" t="str">
        <f t="shared" si="18"/>
        <v>3798512613432</v>
      </c>
      <c r="D432" t="str">
        <f t="shared" si="19"/>
        <v>Client432</v>
      </c>
      <c r="E432" t="str">
        <f t="shared" si="20"/>
        <v>BOB432</v>
      </c>
      <c r="F432" t="s">
        <v>25</v>
      </c>
      <c r="G432" s="11" t="s">
        <v>21</v>
      </c>
      <c r="H432" s="11">
        <v>0</v>
      </c>
      <c r="I432" s="11">
        <v>0</v>
      </c>
      <c r="J432" s="11">
        <v>0</v>
      </c>
      <c r="K432" s="11">
        <v>0</v>
      </c>
      <c r="L432" s="11">
        <v>5970600</v>
      </c>
      <c r="M432" s="11">
        <v>4596000</v>
      </c>
      <c r="N432" s="11">
        <v>0</v>
      </c>
    </row>
    <row r="433" spans="1:14" x14ac:dyDescent="0.3">
      <c r="A433" s="10">
        <v>46027</v>
      </c>
      <c r="B433" t="s">
        <v>19</v>
      </c>
      <c r="C433" t="str">
        <f t="shared" si="18"/>
        <v>3798512613433</v>
      </c>
      <c r="D433" t="str">
        <f t="shared" si="19"/>
        <v>Client433</v>
      </c>
      <c r="E433" t="str">
        <f t="shared" si="20"/>
        <v>BOB433</v>
      </c>
      <c r="G433" s="11"/>
      <c r="H433" s="11">
        <v>0</v>
      </c>
      <c r="I433" s="11">
        <v>0</v>
      </c>
      <c r="J433" s="11">
        <v>0</v>
      </c>
      <c r="K433" s="11">
        <v>0</v>
      </c>
      <c r="L433" s="11">
        <v>6519800</v>
      </c>
      <c r="M433" s="11">
        <v>5770200</v>
      </c>
      <c r="N433" s="11">
        <v>0</v>
      </c>
    </row>
    <row r="434" spans="1:14" x14ac:dyDescent="0.3">
      <c r="A434" s="10">
        <v>46027</v>
      </c>
      <c r="B434" t="s">
        <v>19</v>
      </c>
      <c r="C434" t="str">
        <f t="shared" si="18"/>
        <v>3798512613434</v>
      </c>
      <c r="D434" t="str">
        <f t="shared" si="19"/>
        <v>Client434</v>
      </c>
      <c r="E434" t="str">
        <f t="shared" si="20"/>
        <v>BOB434</v>
      </c>
      <c r="F434" t="s">
        <v>20</v>
      </c>
      <c r="G434" s="11" t="s">
        <v>21</v>
      </c>
      <c r="H434" s="11">
        <v>0</v>
      </c>
      <c r="I434" s="11">
        <v>0</v>
      </c>
      <c r="J434" s="11">
        <v>0</v>
      </c>
      <c r="K434" s="11">
        <v>0</v>
      </c>
      <c r="L434" s="11">
        <v>24000300</v>
      </c>
      <c r="M434" s="11">
        <v>22921100</v>
      </c>
      <c r="N434" s="11">
        <v>0</v>
      </c>
    </row>
    <row r="435" spans="1:14" x14ac:dyDescent="0.3">
      <c r="A435" s="10">
        <v>46027</v>
      </c>
      <c r="B435" t="s">
        <v>19</v>
      </c>
      <c r="C435" t="str">
        <f t="shared" si="18"/>
        <v>3798512613435</v>
      </c>
      <c r="D435" t="str">
        <f t="shared" si="19"/>
        <v>Client435</v>
      </c>
      <c r="E435" t="str">
        <f t="shared" si="20"/>
        <v>BOB435</v>
      </c>
      <c r="F435" t="s">
        <v>25</v>
      </c>
      <c r="G435" s="11" t="s">
        <v>21</v>
      </c>
      <c r="H435" s="11">
        <v>0</v>
      </c>
      <c r="I435" s="11">
        <v>0</v>
      </c>
      <c r="J435" s="11">
        <v>0</v>
      </c>
      <c r="K435" s="11">
        <v>0</v>
      </c>
      <c r="L435" s="11">
        <v>2270300</v>
      </c>
      <c r="M435" s="11">
        <v>2298600</v>
      </c>
      <c r="N435" s="11">
        <v>0</v>
      </c>
    </row>
    <row r="436" spans="1:14" x14ac:dyDescent="0.3">
      <c r="A436" s="10">
        <v>46027</v>
      </c>
      <c r="B436" t="s">
        <v>19</v>
      </c>
      <c r="C436" t="str">
        <f t="shared" si="18"/>
        <v>3798512613436</v>
      </c>
      <c r="D436" t="str">
        <f t="shared" si="19"/>
        <v>Client436</v>
      </c>
      <c r="E436" t="str">
        <f t="shared" si="20"/>
        <v>BOB436</v>
      </c>
      <c r="F436" t="s">
        <v>24</v>
      </c>
      <c r="G436" s="11" t="s">
        <v>21</v>
      </c>
      <c r="H436" s="11">
        <v>0</v>
      </c>
      <c r="I436" s="11">
        <v>0</v>
      </c>
      <c r="J436" s="11">
        <v>2000000</v>
      </c>
      <c r="K436" s="11">
        <v>1500000</v>
      </c>
      <c r="L436" s="11">
        <v>8420900</v>
      </c>
      <c r="M436" s="11">
        <v>7041900</v>
      </c>
      <c r="N436" s="11">
        <v>0</v>
      </c>
    </row>
    <row r="437" spans="1:14" x14ac:dyDescent="0.3">
      <c r="A437" s="10">
        <v>46027</v>
      </c>
      <c r="B437" t="s">
        <v>19</v>
      </c>
      <c r="C437" t="str">
        <f t="shared" si="18"/>
        <v>3798512613437</v>
      </c>
      <c r="D437" t="str">
        <f t="shared" si="19"/>
        <v>Client437</v>
      </c>
      <c r="E437" t="str">
        <f t="shared" si="20"/>
        <v>BOB437</v>
      </c>
      <c r="F437" t="s">
        <v>25</v>
      </c>
      <c r="G437" s="11" t="s">
        <v>21</v>
      </c>
      <c r="H437" s="11">
        <v>0</v>
      </c>
      <c r="I437" s="11">
        <v>0</v>
      </c>
      <c r="J437" s="11">
        <v>2620000</v>
      </c>
      <c r="K437" s="11">
        <v>2660000</v>
      </c>
      <c r="L437" s="11">
        <v>20411800</v>
      </c>
      <c r="M437" s="11">
        <v>20633000</v>
      </c>
      <c r="N437" s="11">
        <v>0</v>
      </c>
    </row>
    <row r="438" spans="1:14" x14ac:dyDescent="0.3">
      <c r="A438" s="10">
        <v>46027</v>
      </c>
      <c r="B438" t="s">
        <v>19</v>
      </c>
      <c r="C438" t="str">
        <f t="shared" si="18"/>
        <v>3798512613438</v>
      </c>
      <c r="D438" t="str">
        <f t="shared" si="19"/>
        <v>Client438</v>
      </c>
      <c r="E438" t="str">
        <f t="shared" si="20"/>
        <v>BOB438</v>
      </c>
      <c r="G438" s="11"/>
      <c r="H438" s="11">
        <v>0</v>
      </c>
      <c r="I438" s="11">
        <v>0</v>
      </c>
      <c r="J438" s="11">
        <v>1500000</v>
      </c>
      <c r="K438" s="11">
        <v>1100000</v>
      </c>
      <c r="L438" s="11">
        <v>18084900</v>
      </c>
      <c r="M438" s="11">
        <v>17142000</v>
      </c>
      <c r="N438" s="11">
        <v>0</v>
      </c>
    </row>
    <row r="439" spans="1:14" x14ac:dyDescent="0.3">
      <c r="A439" s="10">
        <v>46027</v>
      </c>
      <c r="B439" t="s">
        <v>19</v>
      </c>
      <c r="C439" t="str">
        <f t="shared" si="18"/>
        <v>3798512613439</v>
      </c>
      <c r="D439" t="str">
        <f t="shared" si="19"/>
        <v>Client439</v>
      </c>
      <c r="E439" t="str">
        <f t="shared" si="20"/>
        <v>BOB439</v>
      </c>
      <c r="F439" t="s">
        <v>20</v>
      </c>
      <c r="G439" s="11" t="s">
        <v>21</v>
      </c>
      <c r="H439" s="11">
        <v>23000000</v>
      </c>
      <c r="I439" s="11">
        <v>68010000</v>
      </c>
      <c r="J439" s="11">
        <v>82033400</v>
      </c>
      <c r="K439" s="11">
        <v>23440300</v>
      </c>
      <c r="L439" s="11">
        <v>32979100</v>
      </c>
      <c r="M439" s="11">
        <v>18338000</v>
      </c>
      <c r="N439" s="11">
        <v>0</v>
      </c>
    </row>
    <row r="440" spans="1:14" x14ac:dyDescent="0.3">
      <c r="A440" s="10">
        <v>46027</v>
      </c>
      <c r="B440" t="s">
        <v>19</v>
      </c>
      <c r="C440" t="str">
        <f t="shared" si="18"/>
        <v>3798512613440</v>
      </c>
      <c r="D440" t="str">
        <f t="shared" si="19"/>
        <v>Client440</v>
      </c>
      <c r="E440" t="str">
        <f t="shared" si="20"/>
        <v>BOB440</v>
      </c>
      <c r="F440" t="s">
        <v>20</v>
      </c>
      <c r="G440" s="11" t="s">
        <v>21</v>
      </c>
      <c r="H440" s="11">
        <v>0</v>
      </c>
      <c r="I440" s="11">
        <v>0</v>
      </c>
      <c r="J440" s="11">
        <v>0</v>
      </c>
      <c r="K440" s="11">
        <v>0</v>
      </c>
      <c r="L440" s="11">
        <v>1279600</v>
      </c>
      <c r="M440" s="11">
        <v>1595500</v>
      </c>
      <c r="N440" s="11">
        <v>0</v>
      </c>
    </row>
    <row r="441" spans="1:14" x14ac:dyDescent="0.3">
      <c r="A441" s="10">
        <v>46027</v>
      </c>
      <c r="B441" t="s">
        <v>19</v>
      </c>
      <c r="C441" t="str">
        <f t="shared" si="18"/>
        <v>3798512613441</v>
      </c>
      <c r="D441" t="str">
        <f t="shared" si="19"/>
        <v>Client441</v>
      </c>
      <c r="E441" t="str">
        <f t="shared" si="20"/>
        <v>BOB441</v>
      </c>
      <c r="F441" t="s">
        <v>20</v>
      </c>
      <c r="G441" s="11" t="s">
        <v>21</v>
      </c>
      <c r="H441" s="11">
        <v>0</v>
      </c>
      <c r="I441" s="11">
        <v>7500000</v>
      </c>
      <c r="J441" s="11">
        <v>6000000</v>
      </c>
      <c r="K441" s="11">
        <v>20518000</v>
      </c>
      <c r="L441" s="11">
        <v>73850000</v>
      </c>
      <c r="M441" s="11">
        <v>112410700</v>
      </c>
      <c r="N441" s="11">
        <v>0</v>
      </c>
    </row>
    <row r="442" spans="1:14" x14ac:dyDescent="0.3">
      <c r="A442" s="10">
        <v>46027</v>
      </c>
      <c r="B442" t="s">
        <v>19</v>
      </c>
      <c r="C442" t="str">
        <f t="shared" si="18"/>
        <v>3798512613442</v>
      </c>
      <c r="D442" t="str">
        <f t="shared" si="19"/>
        <v>Client442</v>
      </c>
      <c r="E442" t="str">
        <f t="shared" si="20"/>
        <v>BOB442</v>
      </c>
      <c r="G442" s="11"/>
      <c r="H442" s="11">
        <v>0</v>
      </c>
      <c r="I442" s="11">
        <v>0</v>
      </c>
      <c r="J442" s="11">
        <v>0</v>
      </c>
      <c r="K442" s="11">
        <v>0</v>
      </c>
      <c r="L442" s="11">
        <v>110000</v>
      </c>
      <c r="M442" s="11">
        <v>115000</v>
      </c>
      <c r="N442" s="11">
        <v>0</v>
      </c>
    </row>
    <row r="443" spans="1:14" x14ac:dyDescent="0.3">
      <c r="A443" s="10">
        <v>46027</v>
      </c>
      <c r="B443" t="s">
        <v>19</v>
      </c>
      <c r="C443" t="str">
        <f t="shared" si="18"/>
        <v>3798512613443</v>
      </c>
      <c r="D443" t="str">
        <f t="shared" si="19"/>
        <v>Client443</v>
      </c>
      <c r="E443" t="str">
        <f t="shared" si="20"/>
        <v>BOB443</v>
      </c>
      <c r="F443" t="s">
        <v>25</v>
      </c>
      <c r="G443" s="11" t="s">
        <v>21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x14ac:dyDescent="0.3">
      <c r="A444" s="10">
        <v>46027</v>
      </c>
      <c r="B444" t="s">
        <v>19</v>
      </c>
      <c r="C444" t="str">
        <f t="shared" si="18"/>
        <v>3798512613444</v>
      </c>
      <c r="D444" t="str">
        <f t="shared" si="19"/>
        <v>Client444</v>
      </c>
      <c r="E444" t="str">
        <f t="shared" si="20"/>
        <v>BOB444</v>
      </c>
      <c r="G444" s="11"/>
      <c r="H444" s="11">
        <v>0</v>
      </c>
      <c r="I444" s="11">
        <v>0</v>
      </c>
      <c r="J444" s="11">
        <v>0</v>
      </c>
      <c r="K444" s="11">
        <v>422500</v>
      </c>
      <c r="L444" s="11">
        <v>499100</v>
      </c>
      <c r="M444" s="11">
        <v>1196600</v>
      </c>
      <c r="N444" s="11">
        <v>0</v>
      </c>
    </row>
    <row r="445" spans="1:14" x14ac:dyDescent="0.3">
      <c r="A445" s="10">
        <v>46027</v>
      </c>
      <c r="B445" t="s">
        <v>19</v>
      </c>
      <c r="C445" t="str">
        <f t="shared" si="18"/>
        <v>3798512613445</v>
      </c>
      <c r="D445" t="str">
        <f t="shared" si="19"/>
        <v>Client445</v>
      </c>
      <c r="E445" t="str">
        <f t="shared" si="20"/>
        <v>BOB445</v>
      </c>
      <c r="F445" t="s">
        <v>26</v>
      </c>
      <c r="G445" s="11" t="s">
        <v>69</v>
      </c>
      <c r="H445" s="11">
        <v>0</v>
      </c>
      <c r="I445" s="11">
        <v>0</v>
      </c>
      <c r="J445" s="11">
        <v>0</v>
      </c>
      <c r="K445" s="11">
        <v>0</v>
      </c>
      <c r="L445" s="11">
        <v>2004900</v>
      </c>
      <c r="M445" s="11">
        <v>3602300</v>
      </c>
      <c r="N445" s="11">
        <v>0</v>
      </c>
    </row>
    <row r="446" spans="1:14" x14ac:dyDescent="0.3">
      <c r="A446" s="10">
        <v>46027</v>
      </c>
      <c r="B446" t="s">
        <v>19</v>
      </c>
      <c r="C446" t="str">
        <f t="shared" si="18"/>
        <v>3798512613446</v>
      </c>
      <c r="D446" t="str">
        <f t="shared" si="19"/>
        <v>Client446</v>
      </c>
      <c r="E446" t="str">
        <f t="shared" si="20"/>
        <v>BOB446</v>
      </c>
      <c r="F446" t="s">
        <v>25</v>
      </c>
      <c r="G446" s="11" t="s">
        <v>21</v>
      </c>
      <c r="H446" s="11">
        <v>210060000</v>
      </c>
      <c r="I446" s="11">
        <v>0</v>
      </c>
      <c r="J446" s="11">
        <v>0</v>
      </c>
      <c r="K446" s="11">
        <v>0</v>
      </c>
      <c r="L446" s="11">
        <v>224678200</v>
      </c>
      <c r="M446" s="11">
        <v>24372500</v>
      </c>
      <c r="N446" s="11">
        <v>0</v>
      </c>
    </row>
    <row r="447" spans="1:14" x14ac:dyDescent="0.3">
      <c r="A447" s="10">
        <v>46027</v>
      </c>
      <c r="B447" t="s">
        <v>19</v>
      </c>
      <c r="C447" t="str">
        <f t="shared" si="18"/>
        <v>3798512613447</v>
      </c>
      <c r="D447" t="str">
        <f t="shared" si="19"/>
        <v>Client447</v>
      </c>
      <c r="E447" t="str">
        <f t="shared" si="20"/>
        <v>BOB447</v>
      </c>
      <c r="F447" t="s">
        <v>22</v>
      </c>
      <c r="G447" s="11" t="s">
        <v>23</v>
      </c>
      <c r="H447" s="11">
        <v>0</v>
      </c>
      <c r="I447" s="11">
        <v>0</v>
      </c>
      <c r="J447" s="11">
        <v>0</v>
      </c>
      <c r="K447" s="11">
        <v>850900</v>
      </c>
      <c r="L447" s="11">
        <v>4369300</v>
      </c>
      <c r="M447" s="11">
        <v>4219200</v>
      </c>
      <c r="N447" s="11">
        <v>0</v>
      </c>
    </row>
    <row r="448" spans="1:14" x14ac:dyDescent="0.3">
      <c r="A448" s="10">
        <v>46027</v>
      </c>
      <c r="B448" t="s">
        <v>19</v>
      </c>
      <c r="C448" t="str">
        <f t="shared" si="18"/>
        <v>3798512613448</v>
      </c>
      <c r="D448" t="str">
        <f t="shared" si="19"/>
        <v>Client448</v>
      </c>
      <c r="E448" t="str">
        <f t="shared" si="20"/>
        <v>BOB448</v>
      </c>
      <c r="F448" t="s">
        <v>20</v>
      </c>
      <c r="G448" s="11" t="s">
        <v>21</v>
      </c>
      <c r="H448" s="11">
        <v>0</v>
      </c>
      <c r="I448" s="11">
        <v>0</v>
      </c>
      <c r="J448" s="11">
        <v>0</v>
      </c>
      <c r="K448" s="11">
        <v>0</v>
      </c>
      <c r="L448" s="11">
        <v>18354600</v>
      </c>
      <c r="M448" s="11">
        <v>18271000</v>
      </c>
      <c r="N448" s="11">
        <v>0</v>
      </c>
    </row>
    <row r="449" spans="1:14" x14ac:dyDescent="0.3">
      <c r="A449" s="10">
        <v>46027</v>
      </c>
      <c r="B449" t="s">
        <v>19</v>
      </c>
      <c r="C449" t="str">
        <f t="shared" si="18"/>
        <v>3798512613449</v>
      </c>
      <c r="D449" t="str">
        <f t="shared" si="19"/>
        <v>Client449</v>
      </c>
      <c r="E449" t="str">
        <f t="shared" si="20"/>
        <v>BOB449</v>
      </c>
      <c r="F449" t="s">
        <v>26</v>
      </c>
      <c r="G449" s="11" t="s">
        <v>47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</row>
    <row r="450" spans="1:14" x14ac:dyDescent="0.3">
      <c r="A450" s="10">
        <v>46027</v>
      </c>
      <c r="B450" t="s">
        <v>19</v>
      </c>
      <c r="C450" t="str">
        <f t="shared" si="18"/>
        <v>3798512613450</v>
      </c>
      <c r="D450" t="str">
        <f t="shared" si="19"/>
        <v>Client450</v>
      </c>
      <c r="E450" t="str">
        <f t="shared" si="20"/>
        <v>BOB450</v>
      </c>
      <c r="F450" t="s">
        <v>20</v>
      </c>
      <c r="G450" s="11" t="s">
        <v>21</v>
      </c>
      <c r="H450" s="11">
        <v>0</v>
      </c>
      <c r="I450" s="11">
        <v>0</v>
      </c>
      <c r="J450" s="11">
        <v>32360000</v>
      </c>
      <c r="K450" s="11">
        <v>0</v>
      </c>
      <c r="L450" s="11">
        <v>32532400</v>
      </c>
      <c r="M450" s="11">
        <v>0</v>
      </c>
      <c r="N450" s="11">
        <v>0</v>
      </c>
    </row>
    <row r="451" spans="1:14" x14ac:dyDescent="0.3">
      <c r="A451" s="10">
        <v>46027</v>
      </c>
      <c r="B451" t="s">
        <v>19</v>
      </c>
      <c r="C451" t="str">
        <f t="shared" ref="C451:C514" si="21" xml:space="preserve"> "3798512613" &amp; ROW()</f>
        <v>3798512613451</v>
      </c>
      <c r="D451" t="str">
        <f t="shared" ref="D451:D514" si="22">"Client"&amp;ROW()</f>
        <v>Client451</v>
      </c>
      <c r="E451" t="str">
        <f t="shared" ref="E451:E514" si="23">"BOB"&amp;ROW()</f>
        <v>BOB451</v>
      </c>
      <c r="F451" t="s">
        <v>20</v>
      </c>
      <c r="G451" s="11" t="s">
        <v>21</v>
      </c>
      <c r="H451" s="11">
        <v>0</v>
      </c>
      <c r="I451" s="11">
        <v>0</v>
      </c>
      <c r="J451" s="11">
        <v>0</v>
      </c>
      <c r="K451" s="11">
        <v>0</v>
      </c>
      <c r="L451" s="11">
        <v>15952000</v>
      </c>
      <c r="M451" s="11">
        <v>17219700</v>
      </c>
      <c r="N451" s="11">
        <v>0</v>
      </c>
    </row>
    <row r="452" spans="1:14" x14ac:dyDescent="0.3">
      <c r="A452" s="10">
        <v>46027</v>
      </c>
      <c r="B452" t="s">
        <v>19</v>
      </c>
      <c r="C452" t="str">
        <f t="shared" si="21"/>
        <v>3798512613452</v>
      </c>
      <c r="D452" t="str">
        <f t="shared" si="22"/>
        <v>Client452</v>
      </c>
      <c r="E452" t="str">
        <f t="shared" si="23"/>
        <v>BOB452</v>
      </c>
      <c r="F452" t="s">
        <v>20</v>
      </c>
      <c r="G452" s="11" t="s">
        <v>21</v>
      </c>
      <c r="H452" s="11">
        <v>0</v>
      </c>
      <c r="I452" s="11">
        <v>0</v>
      </c>
      <c r="J452" s="11">
        <v>0</v>
      </c>
      <c r="K452" s="11">
        <v>0</v>
      </c>
      <c r="L452" s="11">
        <v>7701200</v>
      </c>
      <c r="M452" s="11">
        <v>9235100</v>
      </c>
      <c r="N452" s="11">
        <v>0</v>
      </c>
    </row>
    <row r="453" spans="1:14" x14ac:dyDescent="0.3">
      <c r="A453" s="10">
        <v>46027</v>
      </c>
      <c r="B453" t="s">
        <v>19</v>
      </c>
      <c r="C453" t="str">
        <f t="shared" si="21"/>
        <v>3798512613453</v>
      </c>
      <c r="D453" t="str">
        <f t="shared" si="22"/>
        <v>Client453</v>
      </c>
      <c r="E453" t="str">
        <f t="shared" si="23"/>
        <v>BOB453</v>
      </c>
      <c r="F453" t="s">
        <v>22</v>
      </c>
      <c r="G453" s="11" t="s">
        <v>23</v>
      </c>
      <c r="H453" s="11">
        <v>0</v>
      </c>
      <c r="I453" s="11">
        <v>0</v>
      </c>
      <c r="J453" s="11">
        <v>0</v>
      </c>
      <c r="K453" s="11">
        <v>0</v>
      </c>
      <c r="L453" s="11">
        <v>3827000</v>
      </c>
      <c r="M453" s="11">
        <v>4460800</v>
      </c>
      <c r="N453" s="11">
        <v>0</v>
      </c>
    </row>
    <row r="454" spans="1:14" x14ac:dyDescent="0.3">
      <c r="A454" s="10">
        <v>46027</v>
      </c>
      <c r="B454" t="s">
        <v>19</v>
      </c>
      <c r="C454" t="str">
        <f t="shared" si="21"/>
        <v>3798512613454</v>
      </c>
      <c r="D454" t="str">
        <f t="shared" si="22"/>
        <v>Client454</v>
      </c>
      <c r="E454" t="str">
        <f t="shared" si="23"/>
        <v>BOB454</v>
      </c>
      <c r="G454" s="11"/>
      <c r="H454" s="11">
        <v>0</v>
      </c>
      <c r="I454" s="11">
        <v>0</v>
      </c>
      <c r="J454" s="11">
        <v>0</v>
      </c>
      <c r="K454" s="11">
        <v>1620000</v>
      </c>
      <c r="L454" s="11">
        <v>714900</v>
      </c>
      <c r="M454" s="11">
        <v>2130000</v>
      </c>
      <c r="N454" s="11">
        <v>0</v>
      </c>
    </row>
    <row r="455" spans="1:14" x14ac:dyDescent="0.3">
      <c r="A455" s="10">
        <v>46027</v>
      </c>
      <c r="B455" t="s">
        <v>19</v>
      </c>
      <c r="C455" t="str">
        <f t="shared" si="21"/>
        <v>3798512613455</v>
      </c>
      <c r="D455" t="str">
        <f t="shared" si="22"/>
        <v>Client455</v>
      </c>
      <c r="E455" t="str">
        <f t="shared" si="23"/>
        <v>BOB455</v>
      </c>
      <c r="F455" t="s">
        <v>25</v>
      </c>
      <c r="G455" s="11" t="s">
        <v>21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</row>
    <row r="456" spans="1:14" x14ac:dyDescent="0.3">
      <c r="A456" s="10">
        <v>46027</v>
      </c>
      <c r="B456" t="s">
        <v>19</v>
      </c>
      <c r="C456" t="str">
        <f t="shared" si="21"/>
        <v>3798512613456</v>
      </c>
      <c r="D456" t="str">
        <f t="shared" si="22"/>
        <v>Client456</v>
      </c>
      <c r="E456" t="str">
        <f t="shared" si="23"/>
        <v>BOB456</v>
      </c>
      <c r="G456" s="11"/>
      <c r="H456" s="11">
        <v>0</v>
      </c>
      <c r="I456" s="11">
        <v>7410500</v>
      </c>
      <c r="J456" s="11">
        <v>2900000</v>
      </c>
      <c r="K456" s="11">
        <v>0</v>
      </c>
      <c r="L456" s="11">
        <v>23787200</v>
      </c>
      <c r="M456" s="11">
        <v>36844900</v>
      </c>
      <c r="N456" s="11">
        <v>0</v>
      </c>
    </row>
    <row r="457" spans="1:14" x14ac:dyDescent="0.3">
      <c r="A457" s="10">
        <v>46027</v>
      </c>
      <c r="B457" t="s">
        <v>19</v>
      </c>
      <c r="C457" t="str">
        <f t="shared" si="21"/>
        <v>3798512613457</v>
      </c>
      <c r="D457" t="str">
        <f t="shared" si="22"/>
        <v>Client457</v>
      </c>
      <c r="E457" t="str">
        <f t="shared" si="23"/>
        <v>BOB457</v>
      </c>
      <c r="G457" s="11"/>
      <c r="H457" s="11">
        <v>0</v>
      </c>
      <c r="I457" s="11">
        <v>0</v>
      </c>
      <c r="J457" s="11">
        <v>0</v>
      </c>
      <c r="K457" s="11">
        <v>1271500</v>
      </c>
      <c r="L457" s="11">
        <v>5902100</v>
      </c>
      <c r="M457" s="11">
        <v>7250600</v>
      </c>
      <c r="N457" s="11">
        <v>0</v>
      </c>
    </row>
    <row r="458" spans="1:14" x14ac:dyDescent="0.3">
      <c r="A458" s="10">
        <v>46027</v>
      </c>
      <c r="B458" t="s">
        <v>19</v>
      </c>
      <c r="C458" t="str">
        <f t="shared" si="21"/>
        <v>3798512613458</v>
      </c>
      <c r="D458" t="str">
        <f t="shared" si="22"/>
        <v>Client458</v>
      </c>
      <c r="E458" t="str">
        <f t="shared" si="23"/>
        <v>BOB458</v>
      </c>
      <c r="G458" s="11"/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</row>
    <row r="459" spans="1:14" x14ac:dyDescent="0.3">
      <c r="A459" s="10">
        <v>46027</v>
      </c>
      <c r="B459" t="s">
        <v>19</v>
      </c>
      <c r="C459" t="str">
        <f t="shared" si="21"/>
        <v>3798512613459</v>
      </c>
      <c r="D459" t="str">
        <f t="shared" si="22"/>
        <v>Client459</v>
      </c>
      <c r="E459" t="str">
        <f t="shared" si="23"/>
        <v>BOB459</v>
      </c>
      <c r="F459" t="s">
        <v>20</v>
      </c>
      <c r="G459" s="11" t="s">
        <v>21</v>
      </c>
      <c r="H459" s="11">
        <v>0</v>
      </c>
      <c r="I459" s="11">
        <v>0</v>
      </c>
      <c r="J459" s="11">
        <v>0</v>
      </c>
      <c r="K459" s="11">
        <v>0</v>
      </c>
      <c r="L459" s="11">
        <v>13672300</v>
      </c>
      <c r="M459" s="11">
        <v>13526400</v>
      </c>
      <c r="N459" s="11">
        <v>0</v>
      </c>
    </row>
    <row r="460" spans="1:14" x14ac:dyDescent="0.3">
      <c r="A460" s="10">
        <v>46027</v>
      </c>
      <c r="B460" t="s">
        <v>19</v>
      </c>
      <c r="C460" t="str">
        <f t="shared" si="21"/>
        <v>3798512613460</v>
      </c>
      <c r="D460" t="str">
        <f t="shared" si="22"/>
        <v>Client460</v>
      </c>
      <c r="E460" t="str">
        <f t="shared" si="23"/>
        <v>BOB460</v>
      </c>
      <c r="F460" t="s">
        <v>20</v>
      </c>
      <c r="G460" s="11" t="s">
        <v>21</v>
      </c>
      <c r="H460" s="11">
        <v>0</v>
      </c>
      <c r="I460" s="11">
        <v>273601500</v>
      </c>
      <c r="J460" s="11">
        <v>268452800</v>
      </c>
      <c r="K460" s="11">
        <v>1000000</v>
      </c>
      <c r="L460" s="11">
        <v>3825000</v>
      </c>
      <c r="M460" s="11">
        <v>9419000</v>
      </c>
      <c r="N460" s="11">
        <v>0</v>
      </c>
    </row>
    <row r="461" spans="1:14" x14ac:dyDescent="0.3">
      <c r="A461" s="10">
        <v>46027</v>
      </c>
      <c r="B461" t="s">
        <v>19</v>
      </c>
      <c r="C461" t="str">
        <f t="shared" si="21"/>
        <v>3798512613461</v>
      </c>
      <c r="D461" t="str">
        <f t="shared" si="22"/>
        <v>Client461</v>
      </c>
      <c r="E461" t="str">
        <f t="shared" si="23"/>
        <v>BOB461</v>
      </c>
      <c r="F461" t="s">
        <v>25</v>
      </c>
      <c r="G461" s="11" t="s">
        <v>21</v>
      </c>
      <c r="H461" s="11">
        <v>0</v>
      </c>
      <c r="I461" s="11">
        <v>0</v>
      </c>
      <c r="J461" s="11">
        <v>0</v>
      </c>
      <c r="K461" s="11">
        <v>0</v>
      </c>
      <c r="L461" s="11">
        <v>27574500</v>
      </c>
      <c r="M461" s="11">
        <v>30852000</v>
      </c>
      <c r="N461" s="11">
        <v>0</v>
      </c>
    </row>
    <row r="462" spans="1:14" x14ac:dyDescent="0.3">
      <c r="A462" s="10">
        <v>46027</v>
      </c>
      <c r="B462" t="s">
        <v>19</v>
      </c>
      <c r="C462" t="str">
        <f t="shared" si="21"/>
        <v>3798512613462</v>
      </c>
      <c r="D462" t="str">
        <f t="shared" si="22"/>
        <v>Client462</v>
      </c>
      <c r="E462" t="str">
        <f t="shared" si="23"/>
        <v>BOB462</v>
      </c>
      <c r="F462" t="s">
        <v>42</v>
      </c>
      <c r="G462" s="11" t="s">
        <v>21</v>
      </c>
      <c r="H462" s="11">
        <v>0</v>
      </c>
      <c r="I462" s="11">
        <v>0</v>
      </c>
      <c r="J462" s="11">
        <v>0</v>
      </c>
      <c r="K462" s="11">
        <v>160000</v>
      </c>
      <c r="L462" s="11">
        <v>0</v>
      </c>
      <c r="M462" s="11">
        <v>157500</v>
      </c>
      <c r="N462" s="11">
        <v>0</v>
      </c>
    </row>
    <row r="463" spans="1:14" x14ac:dyDescent="0.3">
      <c r="A463" s="10">
        <v>46027</v>
      </c>
      <c r="B463" t="s">
        <v>19</v>
      </c>
      <c r="C463" t="str">
        <f t="shared" si="21"/>
        <v>3798512613463</v>
      </c>
      <c r="D463" t="str">
        <f t="shared" si="22"/>
        <v>Client463</v>
      </c>
      <c r="E463" t="str">
        <f t="shared" si="23"/>
        <v>BOB463</v>
      </c>
      <c r="F463" t="s">
        <v>20</v>
      </c>
      <c r="G463" s="11" t="s">
        <v>21</v>
      </c>
      <c r="H463" s="11">
        <v>0</v>
      </c>
      <c r="I463" s="11">
        <v>1603900</v>
      </c>
      <c r="J463" s="11">
        <v>11000000</v>
      </c>
      <c r="K463" s="11">
        <v>3930000</v>
      </c>
      <c r="L463" s="11">
        <v>58650700</v>
      </c>
      <c r="M463" s="11">
        <v>57721700</v>
      </c>
      <c r="N463" s="11">
        <v>0</v>
      </c>
    </row>
    <row r="464" spans="1:14" x14ac:dyDescent="0.3">
      <c r="A464" s="10">
        <v>46027</v>
      </c>
      <c r="B464" t="s">
        <v>19</v>
      </c>
      <c r="C464" t="str">
        <f t="shared" si="21"/>
        <v>3798512613464</v>
      </c>
      <c r="D464" t="str">
        <f t="shared" si="22"/>
        <v>Client464</v>
      </c>
      <c r="E464" t="str">
        <f t="shared" si="23"/>
        <v>BOB464</v>
      </c>
      <c r="F464" t="s">
        <v>26</v>
      </c>
      <c r="G464" s="11" t="s">
        <v>21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x14ac:dyDescent="0.3">
      <c r="A465" s="10">
        <v>46027</v>
      </c>
      <c r="B465" t="s">
        <v>19</v>
      </c>
      <c r="C465" t="str">
        <f t="shared" si="21"/>
        <v>3798512613465</v>
      </c>
      <c r="D465" t="str">
        <f t="shared" si="22"/>
        <v>Client465</v>
      </c>
      <c r="E465" t="str">
        <f t="shared" si="23"/>
        <v>BOB465</v>
      </c>
      <c r="F465" t="s">
        <v>24</v>
      </c>
      <c r="G465" s="11" t="s">
        <v>21</v>
      </c>
      <c r="H465" s="11">
        <v>0</v>
      </c>
      <c r="I465" s="11">
        <v>0</v>
      </c>
      <c r="J465" s="11">
        <v>0</v>
      </c>
      <c r="K465" s="11">
        <v>0</v>
      </c>
      <c r="L465" s="11">
        <v>13430800</v>
      </c>
      <c r="M465" s="11">
        <v>15820800</v>
      </c>
      <c r="N465" s="11">
        <v>0</v>
      </c>
    </row>
    <row r="466" spans="1:14" x14ac:dyDescent="0.3">
      <c r="A466" s="10">
        <v>46027</v>
      </c>
      <c r="B466" t="s">
        <v>19</v>
      </c>
      <c r="C466" t="str">
        <f t="shared" si="21"/>
        <v>3798512613466</v>
      </c>
      <c r="D466" t="str">
        <f t="shared" si="22"/>
        <v>Client466</v>
      </c>
      <c r="E466" t="str">
        <f t="shared" si="23"/>
        <v>BOB466</v>
      </c>
      <c r="F466" t="s">
        <v>26</v>
      </c>
      <c r="G466" s="11" t="s">
        <v>21</v>
      </c>
      <c r="H466" s="11">
        <v>0</v>
      </c>
      <c r="I466" s="11">
        <v>0</v>
      </c>
      <c r="J466" s="11">
        <v>0</v>
      </c>
      <c r="K466" s="11">
        <v>4003000</v>
      </c>
      <c r="L466" s="11">
        <v>14426900</v>
      </c>
      <c r="M466" s="11">
        <v>20337600</v>
      </c>
      <c r="N466" s="11">
        <v>0</v>
      </c>
    </row>
    <row r="467" spans="1:14" x14ac:dyDescent="0.3">
      <c r="A467" s="10">
        <v>46027</v>
      </c>
      <c r="B467" t="s">
        <v>19</v>
      </c>
      <c r="C467" t="str">
        <f t="shared" si="21"/>
        <v>3798512613467</v>
      </c>
      <c r="D467" t="str">
        <f t="shared" si="22"/>
        <v>Client467</v>
      </c>
      <c r="E467" t="str">
        <f t="shared" si="23"/>
        <v>BOB467</v>
      </c>
      <c r="F467" t="s">
        <v>22</v>
      </c>
      <c r="G467" s="11" t="s">
        <v>23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x14ac:dyDescent="0.3">
      <c r="A468" s="10">
        <v>46027</v>
      </c>
      <c r="B468" t="s">
        <v>19</v>
      </c>
      <c r="C468" t="str">
        <f t="shared" si="21"/>
        <v>3798512613468</v>
      </c>
      <c r="D468" t="str">
        <f t="shared" si="22"/>
        <v>Client468</v>
      </c>
      <c r="E468" t="str">
        <f t="shared" si="23"/>
        <v>BOB468</v>
      </c>
      <c r="F468" t="s">
        <v>25</v>
      </c>
      <c r="G468" s="11" t="s">
        <v>21</v>
      </c>
      <c r="H468" s="11">
        <v>0</v>
      </c>
      <c r="I468" s="11">
        <v>0</v>
      </c>
      <c r="J468" s="11">
        <v>2181000</v>
      </c>
      <c r="K468" s="11">
        <v>5741000</v>
      </c>
      <c r="L468" s="11">
        <v>8158900</v>
      </c>
      <c r="M468" s="11">
        <v>11807500</v>
      </c>
      <c r="N468" s="11">
        <v>0</v>
      </c>
    </row>
    <row r="469" spans="1:14" x14ac:dyDescent="0.3">
      <c r="A469" s="10">
        <v>46027</v>
      </c>
      <c r="B469" t="s">
        <v>19</v>
      </c>
      <c r="C469" t="str">
        <f t="shared" si="21"/>
        <v>3798512613469</v>
      </c>
      <c r="D469" t="str">
        <f t="shared" si="22"/>
        <v>Client469</v>
      </c>
      <c r="E469" t="str">
        <f t="shared" si="23"/>
        <v>BOB469</v>
      </c>
      <c r="F469" t="s">
        <v>20</v>
      </c>
      <c r="G469" s="11" t="s">
        <v>21</v>
      </c>
      <c r="H469" s="11">
        <v>0</v>
      </c>
      <c r="I469" s="11">
        <v>0</v>
      </c>
      <c r="J469" s="11">
        <v>800000</v>
      </c>
      <c r="K469" s="11">
        <v>2900000</v>
      </c>
      <c r="L469" s="11">
        <v>7913800</v>
      </c>
      <c r="M469" s="11">
        <v>9590900</v>
      </c>
      <c r="N469" s="11">
        <v>0</v>
      </c>
    </row>
    <row r="470" spans="1:14" x14ac:dyDescent="0.3">
      <c r="A470" s="10">
        <v>46027</v>
      </c>
      <c r="B470" t="s">
        <v>19</v>
      </c>
      <c r="C470" t="str">
        <f t="shared" si="21"/>
        <v>3798512613470</v>
      </c>
      <c r="D470" t="str">
        <f t="shared" si="22"/>
        <v>Client470</v>
      </c>
      <c r="E470" t="str">
        <f t="shared" si="23"/>
        <v>BOB470</v>
      </c>
      <c r="G470" s="11"/>
      <c r="H470" s="11">
        <v>0</v>
      </c>
      <c r="I470" s="11">
        <v>0</v>
      </c>
      <c r="J470" s="11">
        <v>0</v>
      </c>
      <c r="K470" s="11">
        <v>0</v>
      </c>
      <c r="L470" s="11">
        <v>1295500</v>
      </c>
      <c r="M470" s="11">
        <v>1247500</v>
      </c>
      <c r="N470" s="11">
        <v>0</v>
      </c>
    </row>
    <row r="471" spans="1:14" x14ac:dyDescent="0.3">
      <c r="A471" s="10">
        <v>46027</v>
      </c>
      <c r="B471" t="s">
        <v>19</v>
      </c>
      <c r="C471" t="str">
        <f t="shared" si="21"/>
        <v>3798512613471</v>
      </c>
      <c r="D471" t="str">
        <f t="shared" si="22"/>
        <v>Client471</v>
      </c>
      <c r="E471" t="str">
        <f t="shared" si="23"/>
        <v>BOB471</v>
      </c>
      <c r="F471" t="s">
        <v>25</v>
      </c>
      <c r="G471" s="11" t="s">
        <v>21</v>
      </c>
      <c r="H471" s="11">
        <v>0</v>
      </c>
      <c r="I471" s="11">
        <v>0</v>
      </c>
      <c r="J471" s="11">
        <v>0</v>
      </c>
      <c r="K471" s="11">
        <v>4100000</v>
      </c>
      <c r="L471" s="11">
        <v>8033100</v>
      </c>
      <c r="M471" s="11">
        <v>11865400</v>
      </c>
      <c r="N471" s="11">
        <v>0</v>
      </c>
    </row>
    <row r="472" spans="1:14" x14ac:dyDescent="0.3">
      <c r="A472" s="10">
        <v>46027</v>
      </c>
      <c r="B472" t="s">
        <v>19</v>
      </c>
      <c r="C472" t="str">
        <f t="shared" si="21"/>
        <v>3798512613472</v>
      </c>
      <c r="D472" t="str">
        <f t="shared" si="22"/>
        <v>Client472</v>
      </c>
      <c r="E472" t="str">
        <f t="shared" si="23"/>
        <v>BOB472</v>
      </c>
      <c r="F472" t="s">
        <v>25</v>
      </c>
      <c r="G472" s="11" t="s">
        <v>21</v>
      </c>
      <c r="H472" s="11">
        <v>0</v>
      </c>
      <c r="I472" s="11">
        <v>0</v>
      </c>
      <c r="J472" s="11">
        <v>0</v>
      </c>
      <c r="K472" s="11">
        <v>638500</v>
      </c>
      <c r="L472" s="11">
        <v>4340200</v>
      </c>
      <c r="M472" s="11">
        <v>5156000</v>
      </c>
      <c r="N472" s="11">
        <v>0</v>
      </c>
    </row>
    <row r="473" spans="1:14" x14ac:dyDescent="0.3">
      <c r="A473" s="10">
        <v>46027</v>
      </c>
      <c r="B473" t="s">
        <v>19</v>
      </c>
      <c r="C473" t="str">
        <f t="shared" si="21"/>
        <v>3798512613473</v>
      </c>
      <c r="D473" t="str">
        <f t="shared" si="22"/>
        <v>Client473</v>
      </c>
      <c r="E473" t="str">
        <f t="shared" si="23"/>
        <v>BOB473</v>
      </c>
      <c r="G473" s="11"/>
      <c r="H473" s="11">
        <v>0</v>
      </c>
      <c r="I473" s="11">
        <v>0</v>
      </c>
      <c r="J473" s="11">
        <v>0</v>
      </c>
      <c r="K473" s="11">
        <v>3000000</v>
      </c>
      <c r="L473" s="11">
        <v>6223300</v>
      </c>
      <c r="M473" s="11">
        <v>8452200</v>
      </c>
      <c r="N473" s="11">
        <v>0</v>
      </c>
    </row>
    <row r="474" spans="1:14" x14ac:dyDescent="0.3">
      <c r="A474" s="10">
        <v>46027</v>
      </c>
      <c r="B474" t="s">
        <v>19</v>
      </c>
      <c r="C474" t="str">
        <f t="shared" si="21"/>
        <v>3798512613474</v>
      </c>
      <c r="D474" t="str">
        <f t="shared" si="22"/>
        <v>Client474</v>
      </c>
      <c r="E474" t="str">
        <f t="shared" si="23"/>
        <v>BOB474</v>
      </c>
      <c r="F474" t="s">
        <v>25</v>
      </c>
      <c r="G474" s="11" t="s">
        <v>21</v>
      </c>
      <c r="H474" s="11">
        <v>0</v>
      </c>
      <c r="I474" s="11">
        <v>22033000</v>
      </c>
      <c r="J474" s="11">
        <v>0</v>
      </c>
      <c r="K474" s="11">
        <v>0</v>
      </c>
      <c r="L474" s="11">
        <v>18529500</v>
      </c>
      <c r="M474" s="11">
        <v>40184300</v>
      </c>
      <c r="N474" s="11">
        <v>0</v>
      </c>
    </row>
    <row r="475" spans="1:14" x14ac:dyDescent="0.3">
      <c r="A475" s="10">
        <v>46027</v>
      </c>
      <c r="B475" t="s">
        <v>19</v>
      </c>
      <c r="C475" t="str">
        <f t="shared" si="21"/>
        <v>3798512613475</v>
      </c>
      <c r="D475" t="str">
        <f t="shared" si="22"/>
        <v>Client475</v>
      </c>
      <c r="E475" t="str">
        <f t="shared" si="23"/>
        <v>BOB475</v>
      </c>
      <c r="F475" t="s">
        <v>25</v>
      </c>
      <c r="G475" s="11" t="s">
        <v>21</v>
      </c>
      <c r="H475" s="11">
        <v>0</v>
      </c>
      <c r="I475" s="11">
        <v>0</v>
      </c>
      <c r="J475" s="11">
        <v>4721000</v>
      </c>
      <c r="K475" s="11">
        <v>2371000</v>
      </c>
      <c r="L475" s="11">
        <v>13568800</v>
      </c>
      <c r="M475" s="11">
        <v>10900400</v>
      </c>
      <c r="N475" s="11">
        <v>0</v>
      </c>
    </row>
    <row r="476" spans="1:14" x14ac:dyDescent="0.3">
      <c r="A476" s="10">
        <v>46027</v>
      </c>
      <c r="B476" t="s">
        <v>19</v>
      </c>
      <c r="C476" t="str">
        <f t="shared" si="21"/>
        <v>3798512613476</v>
      </c>
      <c r="D476" t="str">
        <f t="shared" si="22"/>
        <v>Client476</v>
      </c>
      <c r="E476" t="str">
        <f t="shared" si="23"/>
        <v>BOB476</v>
      </c>
      <c r="F476" t="s">
        <v>20</v>
      </c>
      <c r="G476" s="11" t="s">
        <v>21</v>
      </c>
      <c r="H476" s="11">
        <v>0</v>
      </c>
      <c r="I476" s="11">
        <v>0</v>
      </c>
      <c r="J476" s="11">
        <v>0</v>
      </c>
      <c r="K476" s="11">
        <v>0</v>
      </c>
      <c r="L476" s="11">
        <v>5726100</v>
      </c>
      <c r="M476" s="11">
        <v>6167300</v>
      </c>
      <c r="N476" s="11">
        <v>0</v>
      </c>
    </row>
    <row r="477" spans="1:14" x14ac:dyDescent="0.3">
      <c r="A477" s="10">
        <v>46027</v>
      </c>
      <c r="B477" t="s">
        <v>19</v>
      </c>
      <c r="C477" t="str">
        <f t="shared" si="21"/>
        <v>3798512613477</v>
      </c>
      <c r="D477" t="str">
        <f t="shared" si="22"/>
        <v>Client477</v>
      </c>
      <c r="E477" t="str">
        <f t="shared" si="23"/>
        <v>BOB477</v>
      </c>
      <c r="G477" s="11"/>
      <c r="H477" s="11">
        <v>0</v>
      </c>
      <c r="I477" s="11">
        <v>0</v>
      </c>
      <c r="J477" s="11">
        <v>0</v>
      </c>
      <c r="K477" s="11">
        <v>1400000</v>
      </c>
      <c r="L477" s="11">
        <v>3613000</v>
      </c>
      <c r="M477" s="11">
        <v>5150300</v>
      </c>
      <c r="N477" s="11">
        <v>0</v>
      </c>
    </row>
    <row r="478" spans="1:14" x14ac:dyDescent="0.3">
      <c r="A478" s="10">
        <v>46027</v>
      </c>
      <c r="B478" t="s">
        <v>19</v>
      </c>
      <c r="C478" t="str">
        <f t="shared" si="21"/>
        <v>3798512613478</v>
      </c>
      <c r="D478" t="str">
        <f t="shared" si="22"/>
        <v>Client478</v>
      </c>
      <c r="E478" t="str">
        <f t="shared" si="23"/>
        <v>BOB478</v>
      </c>
      <c r="G478" s="11"/>
      <c r="H478" s="11">
        <v>0</v>
      </c>
      <c r="I478" s="11">
        <v>0</v>
      </c>
      <c r="J478" s="11">
        <v>0</v>
      </c>
      <c r="K478" s="11">
        <v>0</v>
      </c>
      <c r="L478" s="11">
        <v>7843200</v>
      </c>
      <c r="M478" s="11">
        <v>7015200</v>
      </c>
      <c r="N478" s="11">
        <v>0</v>
      </c>
    </row>
    <row r="479" spans="1:14" x14ac:dyDescent="0.3">
      <c r="A479" s="10">
        <v>46027</v>
      </c>
      <c r="B479" t="s">
        <v>19</v>
      </c>
      <c r="C479" t="str">
        <f t="shared" si="21"/>
        <v>3798512613479</v>
      </c>
      <c r="D479" t="str">
        <f t="shared" si="22"/>
        <v>Client479</v>
      </c>
      <c r="E479" t="str">
        <f t="shared" si="23"/>
        <v>BOB479</v>
      </c>
      <c r="F479" t="s">
        <v>25</v>
      </c>
      <c r="G479" s="11" t="s">
        <v>21</v>
      </c>
      <c r="H479" s="11">
        <v>0</v>
      </c>
      <c r="I479" s="11">
        <v>300000</v>
      </c>
      <c r="J479" s="11">
        <v>26800000</v>
      </c>
      <c r="K479" s="11">
        <v>5600000</v>
      </c>
      <c r="L479" s="11">
        <v>42605300</v>
      </c>
      <c r="M479" s="11">
        <v>19745000</v>
      </c>
      <c r="N479" s="11">
        <v>0</v>
      </c>
    </row>
    <row r="480" spans="1:14" x14ac:dyDescent="0.3">
      <c r="A480" s="10">
        <v>46027</v>
      </c>
      <c r="B480" t="s">
        <v>19</v>
      </c>
      <c r="C480" t="str">
        <f t="shared" si="21"/>
        <v>3798512613480</v>
      </c>
      <c r="D480" t="str">
        <f t="shared" si="22"/>
        <v>Client480</v>
      </c>
      <c r="E480" t="str">
        <f t="shared" si="23"/>
        <v>BOB480</v>
      </c>
      <c r="F480" t="s">
        <v>20</v>
      </c>
      <c r="G480" s="11" t="s">
        <v>21</v>
      </c>
      <c r="H480" s="11">
        <v>0</v>
      </c>
      <c r="I480" s="11">
        <v>0</v>
      </c>
      <c r="J480" s="11">
        <v>0</v>
      </c>
      <c r="K480" s="11">
        <v>403000</v>
      </c>
      <c r="L480" s="11">
        <v>25461200</v>
      </c>
      <c r="M480" s="11">
        <v>25233600</v>
      </c>
      <c r="N480" s="11">
        <v>1300000</v>
      </c>
    </row>
    <row r="481" spans="1:14" x14ac:dyDescent="0.3">
      <c r="A481" s="10">
        <v>46027</v>
      </c>
      <c r="B481" t="s">
        <v>19</v>
      </c>
      <c r="C481" t="str">
        <f t="shared" si="21"/>
        <v>3798512613481</v>
      </c>
      <c r="D481" t="str">
        <f t="shared" si="22"/>
        <v>Client481</v>
      </c>
      <c r="E481" t="str">
        <f t="shared" si="23"/>
        <v>BOB481</v>
      </c>
      <c r="F481" t="s">
        <v>26</v>
      </c>
      <c r="G481" s="11" t="s">
        <v>59</v>
      </c>
      <c r="H481" s="11">
        <v>0</v>
      </c>
      <c r="I481" s="11">
        <v>2000000</v>
      </c>
      <c r="J481" s="11">
        <v>0</v>
      </c>
      <c r="K481" s="11">
        <v>530500</v>
      </c>
      <c r="L481" s="11">
        <v>3428900</v>
      </c>
      <c r="M481" s="11">
        <v>5228400</v>
      </c>
      <c r="N481" s="11">
        <v>0</v>
      </c>
    </row>
    <row r="482" spans="1:14" x14ac:dyDescent="0.3">
      <c r="A482" s="10">
        <v>46027</v>
      </c>
      <c r="B482" t="s">
        <v>19</v>
      </c>
      <c r="C482" t="str">
        <f t="shared" si="21"/>
        <v>3798512613482</v>
      </c>
      <c r="D482" t="str">
        <f t="shared" si="22"/>
        <v>Client482</v>
      </c>
      <c r="E482" t="str">
        <f t="shared" si="23"/>
        <v>BOB482</v>
      </c>
      <c r="F482" t="s">
        <v>25</v>
      </c>
      <c r="G482" s="11" t="s">
        <v>21</v>
      </c>
      <c r="H482" s="11">
        <v>0</v>
      </c>
      <c r="I482" s="11">
        <v>0</v>
      </c>
      <c r="J482" s="11">
        <v>0</v>
      </c>
      <c r="K482" s="11">
        <v>0</v>
      </c>
      <c r="L482" s="11">
        <v>5348000</v>
      </c>
      <c r="M482" s="11">
        <v>5066400</v>
      </c>
      <c r="N482" s="11">
        <v>0</v>
      </c>
    </row>
    <row r="483" spans="1:14" x14ac:dyDescent="0.3">
      <c r="A483" s="10">
        <v>46027</v>
      </c>
      <c r="B483" t="s">
        <v>19</v>
      </c>
      <c r="C483" t="str">
        <f t="shared" si="21"/>
        <v>3798512613483</v>
      </c>
      <c r="D483" t="str">
        <f t="shared" si="22"/>
        <v>Client483</v>
      </c>
      <c r="E483" t="str">
        <f t="shared" si="23"/>
        <v>BOB483</v>
      </c>
      <c r="F483" t="s">
        <v>26</v>
      </c>
      <c r="G483" s="11" t="s">
        <v>21</v>
      </c>
      <c r="H483" s="11">
        <v>0</v>
      </c>
      <c r="I483" s="11">
        <v>0</v>
      </c>
      <c r="J483" s="11">
        <v>0</v>
      </c>
      <c r="K483" s="11">
        <v>0</v>
      </c>
      <c r="L483" s="11">
        <v>730000</v>
      </c>
      <c r="M483" s="11">
        <v>1075000</v>
      </c>
      <c r="N483" s="11">
        <v>0</v>
      </c>
    </row>
    <row r="484" spans="1:14" x14ac:dyDescent="0.3">
      <c r="A484" s="10">
        <v>46027</v>
      </c>
      <c r="B484" t="s">
        <v>19</v>
      </c>
      <c r="C484" t="str">
        <f t="shared" si="21"/>
        <v>3798512613484</v>
      </c>
      <c r="D484" t="str">
        <f t="shared" si="22"/>
        <v>Client484</v>
      </c>
      <c r="E484" t="str">
        <f t="shared" si="23"/>
        <v>BOB484</v>
      </c>
      <c r="F484" t="s">
        <v>24</v>
      </c>
      <c r="G484" s="11" t="s">
        <v>21</v>
      </c>
      <c r="H484" s="11">
        <v>0</v>
      </c>
      <c r="I484" s="11">
        <v>0</v>
      </c>
      <c r="J484" s="11">
        <v>0</v>
      </c>
      <c r="K484" s="11">
        <v>6662000</v>
      </c>
      <c r="L484" s="11">
        <v>9523600</v>
      </c>
      <c r="M484" s="11">
        <v>16806800</v>
      </c>
      <c r="N484" s="11">
        <v>0</v>
      </c>
    </row>
    <row r="485" spans="1:14" x14ac:dyDescent="0.3">
      <c r="A485" s="10">
        <v>46027</v>
      </c>
      <c r="B485" t="s">
        <v>19</v>
      </c>
      <c r="C485" t="str">
        <f t="shared" si="21"/>
        <v>3798512613485</v>
      </c>
      <c r="D485" t="str">
        <f t="shared" si="22"/>
        <v>Client485</v>
      </c>
      <c r="E485" t="str">
        <f t="shared" si="23"/>
        <v>BOB485</v>
      </c>
      <c r="F485" t="s">
        <v>24</v>
      </c>
      <c r="G485" s="11" t="s">
        <v>21</v>
      </c>
      <c r="H485" s="11">
        <v>0</v>
      </c>
      <c r="I485" s="11">
        <v>0</v>
      </c>
      <c r="J485" s="11">
        <v>200000</v>
      </c>
      <c r="K485" s="11">
        <v>0</v>
      </c>
      <c r="L485" s="11">
        <v>3563300</v>
      </c>
      <c r="M485" s="11">
        <v>4494700</v>
      </c>
      <c r="N485" s="11">
        <v>0</v>
      </c>
    </row>
    <row r="486" spans="1:14" x14ac:dyDescent="0.3">
      <c r="A486" s="10">
        <v>46027</v>
      </c>
      <c r="B486" t="s">
        <v>19</v>
      </c>
      <c r="C486" t="str">
        <f t="shared" si="21"/>
        <v>3798512613486</v>
      </c>
      <c r="D486" t="str">
        <f t="shared" si="22"/>
        <v>Client486</v>
      </c>
      <c r="E486" t="str">
        <f t="shared" si="23"/>
        <v>BOB486</v>
      </c>
      <c r="F486" t="s">
        <v>24</v>
      </c>
      <c r="G486" s="11" t="s">
        <v>21</v>
      </c>
      <c r="H486" s="11">
        <v>0</v>
      </c>
      <c r="I486" s="11">
        <v>0</v>
      </c>
      <c r="J486" s="11">
        <v>3000000</v>
      </c>
      <c r="K486" s="11">
        <v>1400000</v>
      </c>
      <c r="L486" s="11">
        <v>10648600</v>
      </c>
      <c r="M486" s="11">
        <v>11803300</v>
      </c>
      <c r="N486" s="11">
        <v>0</v>
      </c>
    </row>
    <row r="487" spans="1:14" x14ac:dyDescent="0.3">
      <c r="A487" s="10">
        <v>46027</v>
      </c>
      <c r="B487" t="s">
        <v>19</v>
      </c>
      <c r="C487" t="str">
        <f t="shared" si="21"/>
        <v>3798512613487</v>
      </c>
      <c r="D487" t="str">
        <f t="shared" si="22"/>
        <v>Client487</v>
      </c>
      <c r="E487" t="str">
        <f t="shared" si="23"/>
        <v>BOB487</v>
      </c>
      <c r="F487" t="s">
        <v>25</v>
      </c>
      <c r="G487" s="11" t="s">
        <v>21</v>
      </c>
      <c r="H487" s="11">
        <v>0</v>
      </c>
      <c r="I487" s="11">
        <v>0</v>
      </c>
      <c r="J487" s="11">
        <v>1700000</v>
      </c>
      <c r="K487" s="11">
        <v>1700000</v>
      </c>
      <c r="L487" s="11">
        <v>661300</v>
      </c>
      <c r="M487" s="11">
        <v>763800</v>
      </c>
      <c r="N487" s="11">
        <v>0</v>
      </c>
    </row>
    <row r="488" spans="1:14" x14ac:dyDescent="0.3">
      <c r="A488" s="10">
        <v>46027</v>
      </c>
      <c r="B488" t="s">
        <v>19</v>
      </c>
      <c r="C488" t="str">
        <f t="shared" si="21"/>
        <v>3798512613488</v>
      </c>
      <c r="D488" t="str">
        <f t="shared" si="22"/>
        <v>Client488</v>
      </c>
      <c r="E488" t="str">
        <f t="shared" si="23"/>
        <v>BOB488</v>
      </c>
      <c r="F488" t="s">
        <v>25</v>
      </c>
      <c r="G488" s="11" t="s">
        <v>21</v>
      </c>
      <c r="H488" s="11">
        <v>3000000</v>
      </c>
      <c r="I488" s="11">
        <v>1227000</v>
      </c>
      <c r="J488" s="11">
        <v>0</v>
      </c>
      <c r="K488" s="11">
        <v>0</v>
      </c>
      <c r="L488" s="11">
        <v>9167700</v>
      </c>
      <c r="M488" s="11">
        <v>7669000</v>
      </c>
      <c r="N488" s="11">
        <v>0</v>
      </c>
    </row>
    <row r="489" spans="1:14" x14ac:dyDescent="0.3">
      <c r="A489" s="10">
        <v>46027</v>
      </c>
      <c r="B489" t="s">
        <v>19</v>
      </c>
      <c r="C489" t="str">
        <f t="shared" si="21"/>
        <v>3798512613489</v>
      </c>
      <c r="D489" t="str">
        <f t="shared" si="22"/>
        <v>Client489</v>
      </c>
      <c r="E489" t="str">
        <f t="shared" si="23"/>
        <v>BOB489</v>
      </c>
      <c r="F489" t="s">
        <v>25</v>
      </c>
      <c r="G489" s="11" t="s">
        <v>21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</row>
    <row r="490" spans="1:14" x14ac:dyDescent="0.3">
      <c r="A490" s="10">
        <v>46027</v>
      </c>
      <c r="B490" t="s">
        <v>19</v>
      </c>
      <c r="C490" t="str">
        <f t="shared" si="21"/>
        <v>3798512613490</v>
      </c>
      <c r="D490" t="str">
        <f t="shared" si="22"/>
        <v>Client490</v>
      </c>
      <c r="E490" t="str">
        <f t="shared" si="23"/>
        <v>BOB490</v>
      </c>
      <c r="F490" t="s">
        <v>25</v>
      </c>
      <c r="G490" s="11" t="s">
        <v>21</v>
      </c>
      <c r="H490" s="11">
        <v>0</v>
      </c>
      <c r="I490" s="11">
        <v>0</v>
      </c>
      <c r="J490" s="11">
        <v>1700000</v>
      </c>
      <c r="K490" s="11">
        <v>1700000</v>
      </c>
      <c r="L490" s="11">
        <v>1601300</v>
      </c>
      <c r="M490" s="11">
        <v>1649000</v>
      </c>
      <c r="N490" s="11">
        <v>0</v>
      </c>
    </row>
    <row r="491" spans="1:14" x14ac:dyDescent="0.3">
      <c r="A491" s="10">
        <v>46027</v>
      </c>
      <c r="B491" t="s">
        <v>19</v>
      </c>
      <c r="C491" t="str">
        <f t="shared" si="21"/>
        <v>3798512613491</v>
      </c>
      <c r="D491" t="str">
        <f t="shared" si="22"/>
        <v>Client491</v>
      </c>
      <c r="E491" t="str">
        <f t="shared" si="23"/>
        <v>BOB491</v>
      </c>
      <c r="F491" t="s">
        <v>25</v>
      </c>
      <c r="G491" s="11" t="s">
        <v>21</v>
      </c>
      <c r="H491" s="11">
        <v>0</v>
      </c>
      <c r="I491" s="11">
        <v>600000</v>
      </c>
      <c r="J491" s="11">
        <v>0</v>
      </c>
      <c r="K491" s="11">
        <v>0</v>
      </c>
      <c r="L491" s="11">
        <v>12629100</v>
      </c>
      <c r="M491" s="11">
        <v>13701200</v>
      </c>
      <c r="N491" s="11">
        <v>0</v>
      </c>
    </row>
    <row r="492" spans="1:14" x14ac:dyDescent="0.3">
      <c r="A492" s="10">
        <v>46027</v>
      </c>
      <c r="B492" t="s">
        <v>19</v>
      </c>
      <c r="C492" t="str">
        <f t="shared" si="21"/>
        <v>3798512613492</v>
      </c>
      <c r="D492" t="str">
        <f t="shared" si="22"/>
        <v>Client492</v>
      </c>
      <c r="E492" t="str">
        <f t="shared" si="23"/>
        <v>BOB492</v>
      </c>
      <c r="G492" s="11"/>
      <c r="H492" s="11">
        <v>0</v>
      </c>
      <c r="I492" s="11">
        <v>0</v>
      </c>
      <c r="J492" s="11">
        <v>0</v>
      </c>
      <c r="K492" s="11">
        <v>0</v>
      </c>
      <c r="L492" s="11">
        <v>5303900</v>
      </c>
      <c r="M492" s="11">
        <v>6746000</v>
      </c>
      <c r="N492" s="11">
        <v>0</v>
      </c>
    </row>
    <row r="493" spans="1:14" x14ac:dyDescent="0.3">
      <c r="A493" s="10">
        <v>46027</v>
      </c>
      <c r="B493" t="s">
        <v>19</v>
      </c>
      <c r="C493" t="str">
        <f t="shared" si="21"/>
        <v>3798512613493</v>
      </c>
      <c r="D493" t="str">
        <f t="shared" si="22"/>
        <v>Client493</v>
      </c>
      <c r="E493" t="str">
        <f t="shared" si="23"/>
        <v>BOB493</v>
      </c>
      <c r="F493" t="s">
        <v>25</v>
      </c>
      <c r="G493" s="11" t="s">
        <v>21</v>
      </c>
      <c r="H493" s="11">
        <v>0</v>
      </c>
      <c r="I493" s="11">
        <v>0</v>
      </c>
      <c r="J493" s="11">
        <v>0</v>
      </c>
      <c r="K493" s="11">
        <v>0</v>
      </c>
      <c r="L493" s="11">
        <v>4627700</v>
      </c>
      <c r="M493" s="11">
        <v>5651100</v>
      </c>
      <c r="N493" s="11">
        <v>0</v>
      </c>
    </row>
    <row r="494" spans="1:14" x14ac:dyDescent="0.3">
      <c r="A494" s="10">
        <v>46027</v>
      </c>
      <c r="B494" t="s">
        <v>19</v>
      </c>
      <c r="C494" t="str">
        <f t="shared" si="21"/>
        <v>3798512613494</v>
      </c>
      <c r="D494" t="str">
        <f t="shared" si="22"/>
        <v>Client494</v>
      </c>
      <c r="E494" t="str">
        <f t="shared" si="23"/>
        <v>BOB494</v>
      </c>
      <c r="F494" t="s">
        <v>26</v>
      </c>
      <c r="G494" s="11" t="s">
        <v>47</v>
      </c>
      <c r="H494" s="11">
        <v>0</v>
      </c>
      <c r="I494" s="11">
        <v>0</v>
      </c>
      <c r="J494" s="11">
        <v>0</v>
      </c>
      <c r="K494" s="11">
        <v>0</v>
      </c>
      <c r="L494" s="11">
        <v>4427200</v>
      </c>
      <c r="M494" s="11">
        <v>3887500</v>
      </c>
      <c r="N494" s="11">
        <v>0</v>
      </c>
    </row>
    <row r="495" spans="1:14" x14ac:dyDescent="0.3">
      <c r="A495" s="10">
        <v>46027</v>
      </c>
      <c r="B495" t="s">
        <v>19</v>
      </c>
      <c r="C495" t="str">
        <f t="shared" si="21"/>
        <v>3798512613495</v>
      </c>
      <c r="D495" t="str">
        <f t="shared" si="22"/>
        <v>Client495</v>
      </c>
      <c r="E495" t="str">
        <f t="shared" si="23"/>
        <v>BOB495</v>
      </c>
      <c r="F495" t="s">
        <v>22</v>
      </c>
      <c r="G495" s="11" t="s">
        <v>23</v>
      </c>
      <c r="H495" s="11">
        <v>0</v>
      </c>
      <c r="I495" s="11">
        <v>0</v>
      </c>
      <c r="J495" s="11">
        <v>300000</v>
      </c>
      <c r="K495" s="11">
        <v>1301300</v>
      </c>
      <c r="L495" s="11">
        <v>7165300</v>
      </c>
      <c r="M495" s="11">
        <v>8988600</v>
      </c>
      <c r="N495" s="11">
        <v>0</v>
      </c>
    </row>
    <row r="496" spans="1:14" x14ac:dyDescent="0.3">
      <c r="A496" s="10">
        <v>46027</v>
      </c>
      <c r="B496" t="s">
        <v>19</v>
      </c>
      <c r="C496" t="str">
        <f t="shared" si="21"/>
        <v>3798512613496</v>
      </c>
      <c r="D496" t="str">
        <f t="shared" si="22"/>
        <v>Client496</v>
      </c>
      <c r="E496" t="str">
        <f t="shared" si="23"/>
        <v>BOB496</v>
      </c>
      <c r="F496" t="s">
        <v>25</v>
      </c>
      <c r="G496" s="11" t="s">
        <v>21</v>
      </c>
      <c r="H496" s="11">
        <v>0</v>
      </c>
      <c r="I496" s="11">
        <v>0</v>
      </c>
      <c r="J496" s="11">
        <v>0</v>
      </c>
      <c r="K496" s="11">
        <v>0</v>
      </c>
      <c r="L496" s="11">
        <v>135300</v>
      </c>
      <c r="M496" s="11">
        <v>150000</v>
      </c>
      <c r="N496" s="11">
        <v>0</v>
      </c>
    </row>
    <row r="497" spans="1:14" x14ac:dyDescent="0.3">
      <c r="A497" s="10">
        <v>46027</v>
      </c>
      <c r="B497" t="s">
        <v>19</v>
      </c>
      <c r="C497" t="str">
        <f t="shared" si="21"/>
        <v>3798512613497</v>
      </c>
      <c r="D497" t="str">
        <f t="shared" si="22"/>
        <v>Client497</v>
      </c>
      <c r="E497" t="str">
        <f t="shared" si="23"/>
        <v>BOB497</v>
      </c>
      <c r="G497" s="11"/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x14ac:dyDescent="0.3">
      <c r="A498" s="10">
        <v>46027</v>
      </c>
      <c r="B498" t="s">
        <v>19</v>
      </c>
      <c r="C498" t="str">
        <f t="shared" si="21"/>
        <v>3798512613498</v>
      </c>
      <c r="D498" t="str">
        <f t="shared" si="22"/>
        <v>Client498</v>
      </c>
      <c r="E498" t="str">
        <f t="shared" si="23"/>
        <v>BOB498</v>
      </c>
      <c r="F498" t="s">
        <v>20</v>
      </c>
      <c r="G498" s="11" t="s">
        <v>21</v>
      </c>
      <c r="H498" s="11">
        <v>0</v>
      </c>
      <c r="I498" s="11">
        <v>300000</v>
      </c>
      <c r="J498" s="11">
        <v>3300000</v>
      </c>
      <c r="K498" s="11">
        <v>4000000</v>
      </c>
      <c r="L498" s="11">
        <v>14005600</v>
      </c>
      <c r="M498" s="11">
        <v>14424100</v>
      </c>
      <c r="N498" s="11">
        <v>0</v>
      </c>
    </row>
    <row r="499" spans="1:14" x14ac:dyDescent="0.3">
      <c r="A499" s="10">
        <v>46027</v>
      </c>
      <c r="B499" t="s">
        <v>19</v>
      </c>
      <c r="C499" t="str">
        <f t="shared" si="21"/>
        <v>3798512613499</v>
      </c>
      <c r="D499" t="str">
        <f t="shared" si="22"/>
        <v>Client499</v>
      </c>
      <c r="E499" t="str">
        <f t="shared" si="23"/>
        <v>BOB499</v>
      </c>
      <c r="F499" t="s">
        <v>25</v>
      </c>
      <c r="G499" s="11" t="s">
        <v>21</v>
      </c>
      <c r="H499" s="11">
        <v>0</v>
      </c>
      <c r="I499" s="11">
        <v>0</v>
      </c>
      <c r="J499" s="11">
        <v>0</v>
      </c>
      <c r="K499" s="11">
        <v>350000</v>
      </c>
      <c r="L499" s="11">
        <v>1249000</v>
      </c>
      <c r="M499" s="11">
        <v>1469000</v>
      </c>
      <c r="N499" s="11">
        <v>0</v>
      </c>
    </row>
    <row r="500" spans="1:14" x14ac:dyDescent="0.3">
      <c r="A500" s="10">
        <v>46027</v>
      </c>
      <c r="B500" t="s">
        <v>19</v>
      </c>
      <c r="C500" t="str">
        <f t="shared" si="21"/>
        <v>3798512613500</v>
      </c>
      <c r="D500" t="str">
        <f t="shared" si="22"/>
        <v>Client500</v>
      </c>
      <c r="E500" t="str">
        <f t="shared" si="23"/>
        <v>BOB500</v>
      </c>
      <c r="F500" t="s">
        <v>24</v>
      </c>
      <c r="G500" s="11" t="s">
        <v>21</v>
      </c>
      <c r="H500" s="11">
        <v>0</v>
      </c>
      <c r="I500" s="11">
        <v>0</v>
      </c>
      <c r="J500" s="11">
        <v>0</v>
      </c>
      <c r="K500" s="11">
        <v>0</v>
      </c>
      <c r="L500" s="11">
        <v>4542200</v>
      </c>
      <c r="M500" s="11">
        <v>5176000</v>
      </c>
      <c r="N500" s="11">
        <v>0</v>
      </c>
    </row>
    <row r="501" spans="1:14" x14ac:dyDescent="0.3">
      <c r="A501" s="10">
        <v>46027</v>
      </c>
      <c r="B501" t="s">
        <v>19</v>
      </c>
      <c r="C501" t="str">
        <f t="shared" si="21"/>
        <v>3798512613501</v>
      </c>
      <c r="D501" t="str">
        <f t="shared" si="22"/>
        <v>Client501</v>
      </c>
      <c r="E501" t="str">
        <f t="shared" si="23"/>
        <v>BOB501</v>
      </c>
      <c r="F501" t="s">
        <v>25</v>
      </c>
      <c r="G501" s="11" t="s">
        <v>21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x14ac:dyDescent="0.3">
      <c r="A502" s="10">
        <v>46027</v>
      </c>
      <c r="B502" t="s">
        <v>19</v>
      </c>
      <c r="C502" t="str">
        <f t="shared" si="21"/>
        <v>3798512613502</v>
      </c>
      <c r="D502" t="str">
        <f t="shared" si="22"/>
        <v>Client502</v>
      </c>
      <c r="E502" t="str">
        <f t="shared" si="23"/>
        <v>BOB502</v>
      </c>
      <c r="G502" s="11"/>
      <c r="H502" s="11">
        <v>0</v>
      </c>
      <c r="I502" s="11">
        <v>0</v>
      </c>
      <c r="J502" s="11">
        <v>0</v>
      </c>
      <c r="K502" s="11">
        <v>4104100</v>
      </c>
      <c r="L502" s="11">
        <v>7241800</v>
      </c>
      <c r="M502" s="11">
        <v>10347000</v>
      </c>
      <c r="N502" s="11">
        <v>0</v>
      </c>
    </row>
    <row r="503" spans="1:14" x14ac:dyDescent="0.3">
      <c r="A503" s="10">
        <v>46027</v>
      </c>
      <c r="B503" t="s">
        <v>19</v>
      </c>
      <c r="C503" t="str">
        <f t="shared" si="21"/>
        <v>3798512613503</v>
      </c>
      <c r="D503" t="str">
        <f t="shared" si="22"/>
        <v>Client503</v>
      </c>
      <c r="E503" t="str">
        <f t="shared" si="23"/>
        <v>BOB503</v>
      </c>
      <c r="F503" t="s">
        <v>51</v>
      </c>
      <c r="G503" s="11" t="s">
        <v>21</v>
      </c>
      <c r="H503" s="11">
        <v>0</v>
      </c>
      <c r="I503" s="11">
        <v>0</v>
      </c>
      <c r="J503" s="11">
        <v>0</v>
      </c>
      <c r="K503" s="11">
        <v>0</v>
      </c>
      <c r="L503" s="11">
        <v>1865100</v>
      </c>
      <c r="M503" s="11">
        <v>809800</v>
      </c>
      <c r="N503" s="11">
        <v>0</v>
      </c>
    </row>
    <row r="504" spans="1:14" x14ac:dyDescent="0.3">
      <c r="A504" s="10">
        <v>46027</v>
      </c>
      <c r="B504" t="s">
        <v>19</v>
      </c>
      <c r="C504" t="str">
        <f t="shared" si="21"/>
        <v>3798512613504</v>
      </c>
      <c r="D504" t="str">
        <f t="shared" si="22"/>
        <v>Client504</v>
      </c>
      <c r="E504" t="str">
        <f t="shared" si="23"/>
        <v>BOB504</v>
      </c>
      <c r="F504" t="s">
        <v>25</v>
      </c>
      <c r="G504" s="11" t="s">
        <v>21</v>
      </c>
      <c r="H504" s="11">
        <v>0</v>
      </c>
      <c r="I504" s="11">
        <v>0</v>
      </c>
      <c r="J504" s="11">
        <v>3012000</v>
      </c>
      <c r="K504" s="11">
        <v>300100</v>
      </c>
      <c r="L504" s="11">
        <v>9644700</v>
      </c>
      <c r="M504" s="11">
        <v>6716800</v>
      </c>
      <c r="N504" s="11">
        <v>0</v>
      </c>
    </row>
    <row r="505" spans="1:14" x14ac:dyDescent="0.3">
      <c r="A505" s="10">
        <v>46027</v>
      </c>
      <c r="B505" t="s">
        <v>19</v>
      </c>
      <c r="C505" t="str">
        <f t="shared" si="21"/>
        <v>3798512613505</v>
      </c>
      <c r="D505" t="str">
        <f t="shared" si="22"/>
        <v>Client505</v>
      </c>
      <c r="E505" t="str">
        <f t="shared" si="23"/>
        <v>BOB505</v>
      </c>
      <c r="G505" s="11"/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x14ac:dyDescent="0.3">
      <c r="A506" s="10">
        <v>46027</v>
      </c>
      <c r="B506" t="s">
        <v>19</v>
      </c>
      <c r="C506" t="str">
        <f t="shared" si="21"/>
        <v>3798512613506</v>
      </c>
      <c r="D506" t="str">
        <f t="shared" si="22"/>
        <v>Client506</v>
      </c>
      <c r="E506" t="str">
        <f t="shared" si="23"/>
        <v>BOB506</v>
      </c>
      <c r="F506" t="s">
        <v>20</v>
      </c>
      <c r="G506" s="11" t="s">
        <v>21</v>
      </c>
      <c r="H506" s="11">
        <v>0</v>
      </c>
      <c r="I506" s="11">
        <v>0</v>
      </c>
      <c r="J506" s="11">
        <v>0</v>
      </c>
      <c r="K506" s="11">
        <v>3006000</v>
      </c>
      <c r="L506" s="11">
        <v>1489700</v>
      </c>
      <c r="M506" s="11">
        <v>4912700</v>
      </c>
      <c r="N506" s="11">
        <v>0</v>
      </c>
    </row>
    <row r="507" spans="1:14" x14ac:dyDescent="0.3">
      <c r="A507" s="10">
        <v>46027</v>
      </c>
      <c r="B507" t="s">
        <v>19</v>
      </c>
      <c r="C507" t="str">
        <f t="shared" si="21"/>
        <v>3798512613507</v>
      </c>
      <c r="D507" t="str">
        <f t="shared" si="22"/>
        <v>Client507</v>
      </c>
      <c r="E507" t="str">
        <f t="shared" si="23"/>
        <v>BOB507</v>
      </c>
      <c r="F507" t="s">
        <v>24</v>
      </c>
      <c r="G507" s="11" t="s">
        <v>21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x14ac:dyDescent="0.3">
      <c r="A508" s="10">
        <v>46027</v>
      </c>
      <c r="B508" t="s">
        <v>19</v>
      </c>
      <c r="C508" t="str">
        <f t="shared" si="21"/>
        <v>3798512613508</v>
      </c>
      <c r="D508" t="str">
        <f t="shared" si="22"/>
        <v>Client508</v>
      </c>
      <c r="E508" t="str">
        <f t="shared" si="23"/>
        <v>BOB508</v>
      </c>
      <c r="G508" s="11"/>
      <c r="H508" s="11">
        <v>0</v>
      </c>
      <c r="I508" s="11">
        <v>8012000</v>
      </c>
      <c r="J508" s="11">
        <v>0</v>
      </c>
      <c r="K508" s="11">
        <v>0</v>
      </c>
      <c r="L508" s="11">
        <v>5314500</v>
      </c>
      <c r="M508" s="11">
        <v>11080800</v>
      </c>
      <c r="N508" s="11">
        <v>0</v>
      </c>
    </row>
    <row r="509" spans="1:14" x14ac:dyDescent="0.3">
      <c r="A509" s="10">
        <v>46027</v>
      </c>
      <c r="B509" t="s">
        <v>19</v>
      </c>
      <c r="C509" t="str">
        <f t="shared" si="21"/>
        <v>3798512613509</v>
      </c>
      <c r="D509" t="str">
        <f t="shared" si="22"/>
        <v>Client509</v>
      </c>
      <c r="E509" t="str">
        <f t="shared" si="23"/>
        <v>BOB509</v>
      </c>
      <c r="F509" t="s">
        <v>20</v>
      </c>
      <c r="G509" s="11" t="s">
        <v>21</v>
      </c>
      <c r="H509" s="11">
        <v>0</v>
      </c>
      <c r="I509" s="11">
        <v>0</v>
      </c>
      <c r="J509" s="11">
        <v>0</v>
      </c>
      <c r="K509" s="11">
        <v>288000</v>
      </c>
      <c r="L509" s="11">
        <v>13949500</v>
      </c>
      <c r="M509" s="11">
        <v>13716900</v>
      </c>
      <c r="N509" s="11">
        <v>0</v>
      </c>
    </row>
    <row r="510" spans="1:14" x14ac:dyDescent="0.3">
      <c r="A510" s="10">
        <v>46027</v>
      </c>
      <c r="B510" t="s">
        <v>19</v>
      </c>
      <c r="C510" t="str">
        <f t="shared" si="21"/>
        <v>3798512613510</v>
      </c>
      <c r="D510" t="str">
        <f t="shared" si="22"/>
        <v>Client510</v>
      </c>
      <c r="E510" t="str">
        <f t="shared" si="23"/>
        <v>BOB510</v>
      </c>
      <c r="F510" t="s">
        <v>20</v>
      </c>
      <c r="G510" s="11" t="s">
        <v>21</v>
      </c>
      <c r="H510" s="11">
        <v>0</v>
      </c>
      <c r="I510" s="11">
        <v>941500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x14ac:dyDescent="0.3">
      <c r="A511" s="10">
        <v>46027</v>
      </c>
      <c r="B511" t="s">
        <v>19</v>
      </c>
      <c r="C511" t="str">
        <f t="shared" si="21"/>
        <v>3798512613511</v>
      </c>
      <c r="D511" t="str">
        <f t="shared" si="22"/>
        <v>Client511</v>
      </c>
      <c r="E511" t="str">
        <f t="shared" si="23"/>
        <v>BOB511</v>
      </c>
      <c r="F511" t="s">
        <v>20</v>
      </c>
      <c r="G511" s="11" t="s">
        <v>21</v>
      </c>
      <c r="H511" s="11">
        <v>0</v>
      </c>
      <c r="I511" s="11">
        <v>0</v>
      </c>
      <c r="J511" s="11">
        <v>0</v>
      </c>
      <c r="K511" s="11">
        <v>0</v>
      </c>
      <c r="L511" s="11">
        <v>98600</v>
      </c>
      <c r="M511" s="11">
        <v>235000</v>
      </c>
      <c r="N511" s="11">
        <v>0</v>
      </c>
    </row>
    <row r="512" spans="1:14" x14ac:dyDescent="0.3">
      <c r="A512" s="10">
        <v>46027</v>
      </c>
      <c r="B512" t="s">
        <v>19</v>
      </c>
      <c r="C512" t="str">
        <f t="shared" si="21"/>
        <v>3798512613512</v>
      </c>
      <c r="D512" t="str">
        <f t="shared" si="22"/>
        <v>Client512</v>
      </c>
      <c r="E512" t="str">
        <f t="shared" si="23"/>
        <v>BOB512</v>
      </c>
      <c r="F512" t="s">
        <v>22</v>
      </c>
      <c r="G512" s="11" t="s">
        <v>23</v>
      </c>
      <c r="H512" s="11">
        <v>0</v>
      </c>
      <c r="I512" s="11">
        <v>0</v>
      </c>
      <c r="J512" s="11">
        <v>0</v>
      </c>
      <c r="K512" s="11">
        <v>0</v>
      </c>
      <c r="L512" s="11">
        <v>3856500</v>
      </c>
      <c r="M512" s="11">
        <v>5396500</v>
      </c>
      <c r="N512" s="11">
        <v>0</v>
      </c>
    </row>
    <row r="513" spans="1:14" x14ac:dyDescent="0.3">
      <c r="A513" s="10">
        <v>46027</v>
      </c>
      <c r="B513" t="s">
        <v>19</v>
      </c>
      <c r="C513" t="str">
        <f t="shared" si="21"/>
        <v>3798512613513</v>
      </c>
      <c r="D513" t="str">
        <f t="shared" si="22"/>
        <v>Client513</v>
      </c>
      <c r="E513" t="str">
        <f t="shared" si="23"/>
        <v>BOB513</v>
      </c>
      <c r="F513" t="s">
        <v>42</v>
      </c>
      <c r="G513" s="11" t="s">
        <v>21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x14ac:dyDescent="0.3">
      <c r="A514" s="10">
        <v>46027</v>
      </c>
      <c r="B514" t="s">
        <v>19</v>
      </c>
      <c r="C514" t="str">
        <f t="shared" si="21"/>
        <v>3798512613514</v>
      </c>
      <c r="D514" t="str">
        <f t="shared" si="22"/>
        <v>Client514</v>
      </c>
      <c r="E514" t="str">
        <f t="shared" si="23"/>
        <v>BOB514</v>
      </c>
      <c r="F514" t="s">
        <v>26</v>
      </c>
      <c r="G514" s="11" t="s">
        <v>21</v>
      </c>
      <c r="H514" s="11">
        <v>10000000</v>
      </c>
      <c r="I514" s="11">
        <v>4000000</v>
      </c>
      <c r="J514" s="11">
        <v>0</v>
      </c>
      <c r="K514" s="11">
        <v>0</v>
      </c>
      <c r="L514" s="11">
        <v>14074500</v>
      </c>
      <c r="M514" s="11">
        <v>8286500</v>
      </c>
      <c r="N514" s="11">
        <v>0</v>
      </c>
    </row>
    <row r="515" spans="1:14" x14ac:dyDescent="0.3">
      <c r="A515" s="10">
        <v>46027</v>
      </c>
      <c r="B515" t="s">
        <v>19</v>
      </c>
      <c r="C515" t="str">
        <f t="shared" ref="C515:C578" si="24" xml:space="preserve"> "3798512613" &amp; ROW()</f>
        <v>3798512613515</v>
      </c>
      <c r="D515" t="str">
        <f t="shared" ref="D515:D578" si="25">"Client"&amp;ROW()</f>
        <v>Client515</v>
      </c>
      <c r="E515" t="str">
        <f t="shared" ref="E515:E578" si="26">"BOB"&amp;ROW()</f>
        <v>BOB515</v>
      </c>
      <c r="F515" t="s">
        <v>25</v>
      </c>
      <c r="G515" s="11" t="s">
        <v>21</v>
      </c>
      <c r="H515" s="11">
        <v>0</v>
      </c>
      <c r="I515" s="11">
        <v>0</v>
      </c>
      <c r="J515" s="11">
        <v>1700000</v>
      </c>
      <c r="K515" s="11">
        <v>1700000</v>
      </c>
      <c r="L515" s="11">
        <v>3776000</v>
      </c>
      <c r="M515" s="11">
        <v>3975900</v>
      </c>
      <c r="N515" s="11">
        <v>0</v>
      </c>
    </row>
    <row r="516" spans="1:14" x14ac:dyDescent="0.3">
      <c r="A516" s="10">
        <v>46027</v>
      </c>
      <c r="B516" t="s">
        <v>19</v>
      </c>
      <c r="C516" t="str">
        <f t="shared" si="24"/>
        <v>3798512613516</v>
      </c>
      <c r="D516" t="str">
        <f t="shared" si="25"/>
        <v>Client516</v>
      </c>
      <c r="E516" t="str">
        <f t="shared" si="26"/>
        <v>BOB516</v>
      </c>
      <c r="F516" t="s">
        <v>24</v>
      </c>
      <c r="G516" s="11" t="s">
        <v>21</v>
      </c>
      <c r="H516" s="11">
        <v>0</v>
      </c>
      <c r="I516" s="11">
        <v>0</v>
      </c>
      <c r="J516" s="11">
        <v>0</v>
      </c>
      <c r="K516" s="11">
        <v>1500000</v>
      </c>
      <c r="L516" s="11">
        <v>9306700</v>
      </c>
      <c r="M516" s="11">
        <v>11506900</v>
      </c>
      <c r="N516" s="11">
        <v>0</v>
      </c>
    </row>
    <row r="517" spans="1:14" x14ac:dyDescent="0.3">
      <c r="A517" s="10">
        <v>46027</v>
      </c>
      <c r="B517" t="s">
        <v>19</v>
      </c>
      <c r="C517" t="str">
        <f t="shared" si="24"/>
        <v>3798512613517</v>
      </c>
      <c r="D517" t="str">
        <f t="shared" si="25"/>
        <v>Client517</v>
      </c>
      <c r="E517" t="str">
        <f t="shared" si="26"/>
        <v>BOB517</v>
      </c>
      <c r="G517" s="11"/>
      <c r="H517" s="11">
        <v>0</v>
      </c>
      <c r="I517" s="11">
        <v>0</v>
      </c>
      <c r="J517" s="11">
        <v>0</v>
      </c>
      <c r="K517" s="11">
        <v>0</v>
      </c>
      <c r="L517" s="11">
        <v>2115500</v>
      </c>
      <c r="M517" s="11">
        <v>2308300</v>
      </c>
      <c r="N517" s="11">
        <v>0</v>
      </c>
    </row>
    <row r="518" spans="1:14" x14ac:dyDescent="0.3">
      <c r="A518" s="10">
        <v>46027</v>
      </c>
      <c r="B518" t="s">
        <v>19</v>
      </c>
      <c r="C518" t="str">
        <f t="shared" si="24"/>
        <v>3798512613518</v>
      </c>
      <c r="D518" t="str">
        <f t="shared" si="25"/>
        <v>Client518</v>
      </c>
      <c r="E518" t="str">
        <f t="shared" si="26"/>
        <v>BOB518</v>
      </c>
      <c r="F518" t="s">
        <v>25</v>
      </c>
      <c r="G518" s="11" t="s">
        <v>21</v>
      </c>
      <c r="H518" s="11">
        <v>6500000</v>
      </c>
      <c r="I518" s="11">
        <v>238422000</v>
      </c>
      <c r="J518" s="11">
        <v>327437000</v>
      </c>
      <c r="K518" s="11">
        <v>171333600</v>
      </c>
      <c r="L518" s="11">
        <v>66739500</v>
      </c>
      <c r="M518" s="11">
        <v>208700</v>
      </c>
      <c r="N518" s="11">
        <v>0</v>
      </c>
    </row>
    <row r="519" spans="1:14" x14ac:dyDescent="0.3">
      <c r="A519" s="10">
        <v>46027</v>
      </c>
      <c r="B519" t="s">
        <v>19</v>
      </c>
      <c r="C519" t="str">
        <f t="shared" si="24"/>
        <v>3798512613519</v>
      </c>
      <c r="D519" t="str">
        <f t="shared" si="25"/>
        <v>Client519</v>
      </c>
      <c r="E519" t="str">
        <f t="shared" si="26"/>
        <v>BOB519</v>
      </c>
      <c r="G519" s="11"/>
      <c r="H519" s="11">
        <v>0</v>
      </c>
      <c r="I519" s="11">
        <v>0</v>
      </c>
      <c r="J519" s="11">
        <v>0</v>
      </c>
      <c r="K519" s="11">
        <v>0</v>
      </c>
      <c r="L519" s="11">
        <v>955200</v>
      </c>
      <c r="M519" s="11">
        <v>1015200</v>
      </c>
      <c r="N519" s="11">
        <v>0</v>
      </c>
    </row>
    <row r="520" spans="1:14" x14ac:dyDescent="0.3">
      <c r="A520" s="10">
        <v>46027</v>
      </c>
      <c r="B520" t="s">
        <v>19</v>
      </c>
      <c r="C520" t="str">
        <f t="shared" si="24"/>
        <v>3798512613520</v>
      </c>
      <c r="D520" t="str">
        <f t="shared" si="25"/>
        <v>Client520</v>
      </c>
      <c r="E520" t="str">
        <f t="shared" si="26"/>
        <v>BOB520</v>
      </c>
      <c r="F520" t="s">
        <v>24</v>
      </c>
      <c r="G520" s="11" t="s">
        <v>21</v>
      </c>
      <c r="H520" s="11">
        <v>0</v>
      </c>
      <c r="I520" s="11">
        <v>0</v>
      </c>
      <c r="J520" s="11">
        <v>500000</v>
      </c>
      <c r="K520" s="11">
        <v>500000</v>
      </c>
      <c r="L520" s="11">
        <v>5438600</v>
      </c>
      <c r="M520" s="11">
        <v>5360300</v>
      </c>
      <c r="N520" s="11">
        <v>0</v>
      </c>
    </row>
    <row r="521" spans="1:14" x14ac:dyDescent="0.3">
      <c r="A521" s="10">
        <v>46027</v>
      </c>
      <c r="B521" t="s">
        <v>19</v>
      </c>
      <c r="C521" t="str">
        <f t="shared" si="24"/>
        <v>3798512613521</v>
      </c>
      <c r="D521" t="str">
        <f t="shared" si="25"/>
        <v>Client521</v>
      </c>
      <c r="E521" t="str">
        <f t="shared" si="26"/>
        <v>BOB521</v>
      </c>
      <c r="G521" s="11"/>
      <c r="H521" s="11">
        <v>0</v>
      </c>
      <c r="I521" s="11">
        <v>0</v>
      </c>
      <c r="J521" s="11">
        <v>797600</v>
      </c>
      <c r="K521" s="11">
        <v>1058000</v>
      </c>
      <c r="L521" s="11">
        <v>409800</v>
      </c>
      <c r="M521" s="11">
        <v>1135700</v>
      </c>
      <c r="N521" s="11">
        <v>0</v>
      </c>
    </row>
    <row r="522" spans="1:14" x14ac:dyDescent="0.3">
      <c r="A522" s="10">
        <v>46027</v>
      </c>
      <c r="B522" t="s">
        <v>19</v>
      </c>
      <c r="C522" t="str">
        <f t="shared" si="24"/>
        <v>3798512613522</v>
      </c>
      <c r="D522" t="str">
        <f t="shared" si="25"/>
        <v>Client522</v>
      </c>
      <c r="E522" t="str">
        <f t="shared" si="26"/>
        <v>BOB522</v>
      </c>
      <c r="F522" t="s">
        <v>20</v>
      </c>
      <c r="G522" s="11" t="s">
        <v>21</v>
      </c>
      <c r="H522" s="11">
        <v>0</v>
      </c>
      <c r="I522" s="11">
        <v>0</v>
      </c>
      <c r="J522" s="11">
        <v>0</v>
      </c>
      <c r="K522" s="11">
        <v>500000</v>
      </c>
      <c r="L522" s="11">
        <v>13464100</v>
      </c>
      <c r="M522" s="11">
        <v>14920300</v>
      </c>
      <c r="N522" s="11">
        <v>0</v>
      </c>
    </row>
    <row r="523" spans="1:14" x14ac:dyDescent="0.3">
      <c r="A523" s="10">
        <v>46027</v>
      </c>
      <c r="B523" t="s">
        <v>19</v>
      </c>
      <c r="C523" t="str">
        <f t="shared" si="24"/>
        <v>3798512613523</v>
      </c>
      <c r="D523" t="str">
        <f t="shared" si="25"/>
        <v>Client523</v>
      </c>
      <c r="E523" t="str">
        <f t="shared" si="26"/>
        <v>BOB523</v>
      </c>
      <c r="F523" t="s">
        <v>42</v>
      </c>
      <c r="G523" s="11" t="s">
        <v>43</v>
      </c>
      <c r="H523" s="11">
        <v>0</v>
      </c>
      <c r="I523" s="11">
        <v>0</v>
      </c>
      <c r="J523" s="11">
        <v>0</v>
      </c>
      <c r="K523" s="11">
        <v>0</v>
      </c>
      <c r="L523" s="11">
        <v>445000</v>
      </c>
      <c r="M523" s="11">
        <v>0</v>
      </c>
      <c r="N523" s="11">
        <v>0</v>
      </c>
    </row>
    <row r="524" spans="1:14" x14ac:dyDescent="0.3">
      <c r="A524" s="10">
        <v>46027</v>
      </c>
      <c r="B524" t="s">
        <v>19</v>
      </c>
      <c r="C524" t="str">
        <f t="shared" si="24"/>
        <v>3798512613524</v>
      </c>
      <c r="D524" t="str">
        <f t="shared" si="25"/>
        <v>Client524</v>
      </c>
      <c r="E524" t="str">
        <f t="shared" si="26"/>
        <v>BOB524</v>
      </c>
      <c r="G524" s="11"/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1:14" x14ac:dyDescent="0.3">
      <c r="A525" s="10">
        <v>46027</v>
      </c>
      <c r="B525" t="s">
        <v>19</v>
      </c>
      <c r="C525" t="str">
        <f t="shared" si="24"/>
        <v>3798512613525</v>
      </c>
      <c r="D525" t="str">
        <f t="shared" si="25"/>
        <v>Client525</v>
      </c>
      <c r="E525" t="str">
        <f t="shared" si="26"/>
        <v>BOB525</v>
      </c>
      <c r="F525" t="s">
        <v>20</v>
      </c>
      <c r="G525" s="11" t="s">
        <v>21</v>
      </c>
      <c r="H525" s="11">
        <v>0</v>
      </c>
      <c r="I525" s="11">
        <v>0</v>
      </c>
      <c r="J525" s="11">
        <v>0</v>
      </c>
      <c r="K525" s="11">
        <v>2504500</v>
      </c>
      <c r="L525" s="11">
        <v>6257900</v>
      </c>
      <c r="M525" s="11">
        <v>6626100</v>
      </c>
      <c r="N525" s="11">
        <v>0</v>
      </c>
    </row>
    <row r="526" spans="1:14" x14ac:dyDescent="0.3">
      <c r="A526" s="10">
        <v>46027</v>
      </c>
      <c r="B526" t="s">
        <v>19</v>
      </c>
      <c r="C526" t="str">
        <f t="shared" si="24"/>
        <v>3798512613526</v>
      </c>
      <c r="D526" t="str">
        <f t="shared" si="25"/>
        <v>Client526</v>
      </c>
      <c r="E526" t="str">
        <f t="shared" si="26"/>
        <v>BOB526</v>
      </c>
      <c r="F526" t="s">
        <v>26</v>
      </c>
      <c r="G526" s="11" t="s">
        <v>47</v>
      </c>
      <c r="H526" s="11">
        <v>0</v>
      </c>
      <c r="I526" s="11">
        <v>0</v>
      </c>
      <c r="J526" s="11">
        <v>0</v>
      </c>
      <c r="K526" s="11">
        <v>0</v>
      </c>
      <c r="L526" s="11">
        <v>4939600</v>
      </c>
      <c r="M526" s="11">
        <v>4773600</v>
      </c>
      <c r="N526" s="11">
        <v>0</v>
      </c>
    </row>
    <row r="527" spans="1:14" x14ac:dyDescent="0.3">
      <c r="A527" s="10">
        <v>46027</v>
      </c>
      <c r="B527" t="s">
        <v>19</v>
      </c>
      <c r="C527" t="str">
        <f t="shared" si="24"/>
        <v>3798512613527</v>
      </c>
      <c r="D527" t="str">
        <f t="shared" si="25"/>
        <v>Client527</v>
      </c>
      <c r="E527" t="str">
        <f t="shared" si="26"/>
        <v>BOB527</v>
      </c>
      <c r="F527" t="s">
        <v>20</v>
      </c>
      <c r="G527" s="11" t="s">
        <v>21</v>
      </c>
      <c r="H527" s="11">
        <v>0</v>
      </c>
      <c r="I527" s="11">
        <v>0</v>
      </c>
      <c r="J527" s="11">
        <v>0</v>
      </c>
      <c r="K527" s="11">
        <v>0</v>
      </c>
      <c r="L527" s="11">
        <v>35750000</v>
      </c>
      <c r="M527" s="11">
        <v>35574500</v>
      </c>
      <c r="N527" s="11">
        <v>0</v>
      </c>
    </row>
    <row r="528" spans="1:14" x14ac:dyDescent="0.3">
      <c r="A528" s="10">
        <v>46027</v>
      </c>
      <c r="B528" t="s">
        <v>19</v>
      </c>
      <c r="C528" t="str">
        <f t="shared" si="24"/>
        <v>3798512613528</v>
      </c>
      <c r="D528" t="str">
        <f t="shared" si="25"/>
        <v>Client528</v>
      </c>
      <c r="E528" t="str">
        <f t="shared" si="26"/>
        <v>BOB528</v>
      </c>
      <c r="F528" t="s">
        <v>20</v>
      </c>
      <c r="G528" s="11" t="s">
        <v>21</v>
      </c>
      <c r="H528" s="11">
        <v>0</v>
      </c>
      <c r="I528" s="11">
        <v>0</v>
      </c>
      <c r="J528" s="11">
        <v>0</v>
      </c>
      <c r="K528" s="11">
        <v>0</v>
      </c>
      <c r="L528" s="11">
        <v>4651700</v>
      </c>
      <c r="M528" s="11">
        <v>4786100</v>
      </c>
      <c r="N528" s="11">
        <v>0</v>
      </c>
    </row>
    <row r="529" spans="1:14" x14ac:dyDescent="0.3">
      <c r="A529" s="10">
        <v>46027</v>
      </c>
      <c r="B529" t="s">
        <v>19</v>
      </c>
      <c r="C529" t="str">
        <f t="shared" si="24"/>
        <v>3798512613529</v>
      </c>
      <c r="D529" t="str">
        <f t="shared" si="25"/>
        <v>Client529</v>
      </c>
      <c r="E529" t="str">
        <f t="shared" si="26"/>
        <v>BOB529</v>
      </c>
      <c r="F529" t="s">
        <v>24</v>
      </c>
      <c r="G529" s="11" t="s">
        <v>21</v>
      </c>
      <c r="H529" s="11">
        <v>0</v>
      </c>
      <c r="I529" s="11">
        <v>0</v>
      </c>
      <c r="J529" s="11">
        <v>0</v>
      </c>
      <c r="K529" s="11">
        <v>1403200</v>
      </c>
      <c r="L529" s="11">
        <v>5610100</v>
      </c>
      <c r="M529" s="11">
        <v>7873900</v>
      </c>
      <c r="N529" s="11">
        <v>0</v>
      </c>
    </row>
    <row r="530" spans="1:14" x14ac:dyDescent="0.3">
      <c r="A530" s="10">
        <v>46027</v>
      </c>
      <c r="B530" t="s">
        <v>19</v>
      </c>
      <c r="C530" t="str">
        <f t="shared" si="24"/>
        <v>3798512613530</v>
      </c>
      <c r="D530" t="str">
        <f t="shared" si="25"/>
        <v>Client530</v>
      </c>
      <c r="E530" t="str">
        <f t="shared" si="26"/>
        <v>BOB530</v>
      </c>
      <c r="F530" t="s">
        <v>20</v>
      </c>
      <c r="G530" s="11" t="s">
        <v>21</v>
      </c>
      <c r="H530" s="11">
        <v>0</v>
      </c>
      <c r="I530" s="11">
        <v>0</v>
      </c>
      <c r="J530" s="11">
        <v>0</v>
      </c>
      <c r="K530" s="11">
        <v>0</v>
      </c>
      <c r="L530" s="11">
        <v>2000</v>
      </c>
      <c r="M530" s="11">
        <v>0</v>
      </c>
      <c r="N530" s="11">
        <v>0</v>
      </c>
    </row>
    <row r="531" spans="1:14" x14ac:dyDescent="0.3">
      <c r="A531" s="10">
        <v>46027</v>
      </c>
      <c r="B531" t="s">
        <v>19</v>
      </c>
      <c r="C531" t="str">
        <f t="shared" si="24"/>
        <v>3798512613531</v>
      </c>
      <c r="D531" t="str">
        <f t="shared" si="25"/>
        <v>Client531</v>
      </c>
      <c r="E531" t="str">
        <f t="shared" si="26"/>
        <v>BOB531</v>
      </c>
      <c r="G531" s="11"/>
      <c r="H531" s="11">
        <v>0</v>
      </c>
      <c r="I531" s="11">
        <v>0</v>
      </c>
      <c r="J531" s="11">
        <v>0</v>
      </c>
      <c r="K531" s="11">
        <v>703000</v>
      </c>
      <c r="L531" s="11">
        <v>3984700</v>
      </c>
      <c r="M531" s="11">
        <v>5289800</v>
      </c>
      <c r="N531" s="11">
        <v>0</v>
      </c>
    </row>
    <row r="532" spans="1:14" x14ac:dyDescent="0.3">
      <c r="A532" s="10">
        <v>46027</v>
      </c>
      <c r="B532" t="s">
        <v>19</v>
      </c>
      <c r="C532" t="str">
        <f t="shared" si="24"/>
        <v>3798512613532</v>
      </c>
      <c r="D532" t="str">
        <f t="shared" si="25"/>
        <v>Client532</v>
      </c>
      <c r="E532" t="str">
        <f t="shared" si="26"/>
        <v>BOB532</v>
      </c>
      <c r="F532" t="s">
        <v>20</v>
      </c>
      <c r="G532" s="11" t="s">
        <v>21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</row>
    <row r="533" spans="1:14" x14ac:dyDescent="0.3">
      <c r="A533" s="10">
        <v>46027</v>
      </c>
      <c r="B533" t="s">
        <v>19</v>
      </c>
      <c r="C533" t="str">
        <f t="shared" si="24"/>
        <v>3798512613533</v>
      </c>
      <c r="D533" t="str">
        <f t="shared" si="25"/>
        <v>Client533</v>
      </c>
      <c r="E533" t="str">
        <f t="shared" si="26"/>
        <v>BOB533</v>
      </c>
      <c r="F533" t="s">
        <v>22</v>
      </c>
      <c r="G533" s="11" t="s">
        <v>23</v>
      </c>
      <c r="H533" s="11">
        <v>0</v>
      </c>
      <c r="I533" s="11">
        <v>0</v>
      </c>
      <c r="J533" s="11">
        <v>0</v>
      </c>
      <c r="K533" s="11">
        <v>3503500</v>
      </c>
      <c r="L533" s="11">
        <v>10653700</v>
      </c>
      <c r="M533" s="11">
        <v>14805400</v>
      </c>
      <c r="N533" s="11">
        <v>0</v>
      </c>
    </row>
    <row r="534" spans="1:14" x14ac:dyDescent="0.3">
      <c r="A534" s="10">
        <v>46027</v>
      </c>
      <c r="B534" t="s">
        <v>19</v>
      </c>
      <c r="C534" t="str">
        <f t="shared" si="24"/>
        <v>3798512613534</v>
      </c>
      <c r="D534" t="str">
        <f t="shared" si="25"/>
        <v>Client534</v>
      </c>
      <c r="E534" t="str">
        <f t="shared" si="26"/>
        <v>BOB534</v>
      </c>
      <c r="F534" t="s">
        <v>25</v>
      </c>
      <c r="G534" s="11" t="s">
        <v>21</v>
      </c>
      <c r="H534" s="11">
        <v>18000000</v>
      </c>
      <c r="I534" s="11">
        <v>4685000</v>
      </c>
      <c r="J534" s="11">
        <v>0</v>
      </c>
      <c r="K534" s="11">
        <v>0</v>
      </c>
      <c r="L534" s="11">
        <v>36868900</v>
      </c>
      <c r="M534" s="11">
        <v>18378400</v>
      </c>
      <c r="N534" s="11">
        <v>0</v>
      </c>
    </row>
    <row r="535" spans="1:14" x14ac:dyDescent="0.3">
      <c r="A535" s="10">
        <v>46027</v>
      </c>
      <c r="B535" t="s">
        <v>19</v>
      </c>
      <c r="C535" t="str">
        <f t="shared" si="24"/>
        <v>3798512613535</v>
      </c>
      <c r="D535" t="str">
        <f t="shared" si="25"/>
        <v>Client535</v>
      </c>
      <c r="E535" t="str">
        <f t="shared" si="26"/>
        <v>BOB535</v>
      </c>
      <c r="F535" t="s">
        <v>25</v>
      </c>
      <c r="G535" s="11" t="s">
        <v>21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432000</v>
      </c>
      <c r="N535" s="11">
        <v>0</v>
      </c>
    </row>
    <row r="536" spans="1:14" x14ac:dyDescent="0.3">
      <c r="A536" s="10">
        <v>46027</v>
      </c>
      <c r="B536" t="s">
        <v>19</v>
      </c>
      <c r="C536" t="str">
        <f t="shared" si="24"/>
        <v>3798512613536</v>
      </c>
      <c r="D536" t="str">
        <f t="shared" si="25"/>
        <v>Client536</v>
      </c>
      <c r="E536" t="str">
        <f t="shared" si="26"/>
        <v>BOB536</v>
      </c>
      <c r="F536" t="s">
        <v>22</v>
      </c>
      <c r="G536" s="11" t="s">
        <v>23</v>
      </c>
      <c r="H536" s="11">
        <v>0</v>
      </c>
      <c r="I536" s="11">
        <v>0</v>
      </c>
      <c r="J536" s="11">
        <v>0</v>
      </c>
      <c r="K536" s="11">
        <v>4004000</v>
      </c>
      <c r="L536" s="11">
        <v>1129700</v>
      </c>
      <c r="M536" s="11">
        <v>4223000</v>
      </c>
      <c r="N536" s="11">
        <v>0</v>
      </c>
    </row>
    <row r="537" spans="1:14" x14ac:dyDescent="0.3">
      <c r="A537" s="10">
        <v>46027</v>
      </c>
      <c r="B537" t="s">
        <v>19</v>
      </c>
      <c r="C537" t="str">
        <f t="shared" si="24"/>
        <v>3798512613537</v>
      </c>
      <c r="D537" t="str">
        <f t="shared" si="25"/>
        <v>Client537</v>
      </c>
      <c r="E537" t="str">
        <f t="shared" si="26"/>
        <v>BOB537</v>
      </c>
      <c r="G537" s="11"/>
      <c r="H537" s="11">
        <v>0</v>
      </c>
      <c r="I537" s="11">
        <v>0</v>
      </c>
      <c r="J537" s="11">
        <v>0</v>
      </c>
      <c r="K537" s="11">
        <v>601500</v>
      </c>
      <c r="L537" s="11">
        <v>336500</v>
      </c>
      <c r="M537" s="11">
        <v>908000</v>
      </c>
      <c r="N537" s="11">
        <v>0</v>
      </c>
    </row>
    <row r="538" spans="1:14" x14ac:dyDescent="0.3">
      <c r="A538" s="10">
        <v>46027</v>
      </c>
      <c r="B538" t="s">
        <v>19</v>
      </c>
      <c r="C538" t="str">
        <f t="shared" si="24"/>
        <v>3798512613538</v>
      </c>
      <c r="D538" t="str">
        <f t="shared" si="25"/>
        <v>Client538</v>
      </c>
      <c r="E538" t="str">
        <f t="shared" si="26"/>
        <v>BOB538</v>
      </c>
      <c r="G538" s="11"/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</row>
    <row r="539" spans="1:14" x14ac:dyDescent="0.3">
      <c r="A539" s="10">
        <v>46027</v>
      </c>
      <c r="B539" t="s">
        <v>19</v>
      </c>
      <c r="C539" t="str">
        <f t="shared" si="24"/>
        <v>3798512613539</v>
      </c>
      <c r="D539" t="str">
        <f t="shared" si="25"/>
        <v>Client539</v>
      </c>
      <c r="E539" t="str">
        <f t="shared" si="26"/>
        <v>BOB539</v>
      </c>
      <c r="F539" t="s">
        <v>24</v>
      </c>
      <c r="G539" s="11" t="s">
        <v>21</v>
      </c>
      <c r="H539" s="11">
        <v>0</v>
      </c>
      <c r="I539" s="11">
        <v>0</v>
      </c>
      <c r="J539" s="11">
        <v>0</v>
      </c>
      <c r="K539" s="11">
        <v>660000</v>
      </c>
      <c r="L539" s="11">
        <v>7089900</v>
      </c>
      <c r="M539" s="11">
        <v>7500700</v>
      </c>
      <c r="N539" s="11">
        <v>0</v>
      </c>
    </row>
    <row r="540" spans="1:14" x14ac:dyDescent="0.3">
      <c r="A540" s="10">
        <v>46027</v>
      </c>
      <c r="B540" t="s">
        <v>19</v>
      </c>
      <c r="C540" t="str">
        <f t="shared" si="24"/>
        <v>3798512613540</v>
      </c>
      <c r="D540" t="str">
        <f t="shared" si="25"/>
        <v>Client540</v>
      </c>
      <c r="E540" t="str">
        <f t="shared" si="26"/>
        <v>BOB540</v>
      </c>
      <c r="F540" t="s">
        <v>25</v>
      </c>
      <c r="G540" s="11" t="s">
        <v>21</v>
      </c>
      <c r="H540" s="11">
        <v>0</v>
      </c>
      <c r="I540" s="11">
        <v>0</v>
      </c>
      <c r="J540" s="11">
        <v>0</v>
      </c>
      <c r="K540" s="11">
        <v>0</v>
      </c>
      <c r="L540" s="11">
        <v>1422800</v>
      </c>
      <c r="M540" s="11">
        <v>1422000</v>
      </c>
      <c r="N540" s="11">
        <v>0</v>
      </c>
    </row>
    <row r="541" spans="1:14" x14ac:dyDescent="0.3">
      <c r="A541" s="10">
        <v>46027</v>
      </c>
      <c r="B541" t="s">
        <v>19</v>
      </c>
      <c r="C541" t="str">
        <f t="shared" si="24"/>
        <v>3798512613541</v>
      </c>
      <c r="D541" t="str">
        <f t="shared" si="25"/>
        <v>Client541</v>
      </c>
      <c r="E541" t="str">
        <f t="shared" si="26"/>
        <v>BOB541</v>
      </c>
      <c r="F541" t="s">
        <v>25</v>
      </c>
      <c r="G541" s="11" t="s">
        <v>21</v>
      </c>
      <c r="H541" s="11">
        <v>0</v>
      </c>
      <c r="I541" s="11">
        <v>0</v>
      </c>
      <c r="J541" s="11">
        <v>0</v>
      </c>
      <c r="K541" s="11">
        <v>0</v>
      </c>
      <c r="L541" s="11">
        <v>2152600</v>
      </c>
      <c r="M541" s="11">
        <v>2021700</v>
      </c>
      <c r="N541" s="11">
        <v>0</v>
      </c>
    </row>
    <row r="542" spans="1:14" x14ac:dyDescent="0.3">
      <c r="A542" s="10">
        <v>46027</v>
      </c>
      <c r="B542" t="s">
        <v>19</v>
      </c>
      <c r="C542" t="str">
        <f t="shared" si="24"/>
        <v>3798512613542</v>
      </c>
      <c r="D542" t="str">
        <f t="shared" si="25"/>
        <v>Client542</v>
      </c>
      <c r="E542" t="str">
        <f t="shared" si="26"/>
        <v>BOB542</v>
      </c>
      <c r="G542" s="11"/>
      <c r="H542" s="11">
        <v>0</v>
      </c>
      <c r="I542" s="11">
        <v>0</v>
      </c>
      <c r="J542" s="11">
        <v>0</v>
      </c>
      <c r="K542" s="11">
        <v>0</v>
      </c>
      <c r="L542" s="11">
        <v>1005500</v>
      </c>
      <c r="M542" s="11">
        <v>970800</v>
      </c>
      <c r="N542" s="11">
        <v>0</v>
      </c>
    </row>
    <row r="543" spans="1:14" x14ac:dyDescent="0.3">
      <c r="A543" s="10">
        <v>46027</v>
      </c>
      <c r="B543" t="s">
        <v>19</v>
      </c>
      <c r="C543" t="str">
        <f t="shared" si="24"/>
        <v>3798512613543</v>
      </c>
      <c r="D543" t="str">
        <f t="shared" si="25"/>
        <v>Client543</v>
      </c>
      <c r="E543" t="str">
        <f t="shared" si="26"/>
        <v>BOB543</v>
      </c>
      <c r="G543" s="11"/>
      <c r="H543" s="11">
        <v>0</v>
      </c>
      <c r="I543" s="11">
        <v>0</v>
      </c>
      <c r="J543" s="11">
        <v>0</v>
      </c>
      <c r="K543" s="11">
        <v>300000</v>
      </c>
      <c r="L543" s="11">
        <v>3829900</v>
      </c>
      <c r="M543" s="11">
        <v>4875500</v>
      </c>
      <c r="N543" s="11">
        <v>0</v>
      </c>
    </row>
    <row r="544" spans="1:14" x14ac:dyDescent="0.3">
      <c r="A544" s="10">
        <v>46027</v>
      </c>
      <c r="B544" t="s">
        <v>19</v>
      </c>
      <c r="C544" t="str">
        <f t="shared" si="24"/>
        <v>3798512613544</v>
      </c>
      <c r="D544" t="str">
        <f t="shared" si="25"/>
        <v>Client544</v>
      </c>
      <c r="E544" t="str">
        <f t="shared" si="26"/>
        <v>BOB544</v>
      </c>
      <c r="F544" t="s">
        <v>25</v>
      </c>
      <c r="G544" s="11" t="s">
        <v>21</v>
      </c>
      <c r="H544" s="11">
        <v>0</v>
      </c>
      <c r="I544" s="11">
        <v>0</v>
      </c>
      <c r="J544" s="11">
        <v>0</v>
      </c>
      <c r="K544" s="11">
        <v>0</v>
      </c>
      <c r="L544" s="11">
        <v>6761400</v>
      </c>
      <c r="M544" s="11">
        <v>10817500</v>
      </c>
      <c r="N544" s="11">
        <v>0</v>
      </c>
    </row>
    <row r="545" spans="1:14" x14ac:dyDescent="0.3">
      <c r="A545" s="10">
        <v>46027</v>
      </c>
      <c r="B545" t="s">
        <v>19</v>
      </c>
      <c r="C545" t="str">
        <f t="shared" si="24"/>
        <v>3798512613545</v>
      </c>
      <c r="D545" t="str">
        <f t="shared" si="25"/>
        <v>Client545</v>
      </c>
      <c r="E545" t="str">
        <f t="shared" si="26"/>
        <v>BOB545</v>
      </c>
      <c r="F545" t="s">
        <v>20</v>
      </c>
      <c r="G545" s="11" t="s">
        <v>21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</row>
    <row r="546" spans="1:14" x14ac:dyDescent="0.3">
      <c r="A546" s="10">
        <v>46027</v>
      </c>
      <c r="B546" t="s">
        <v>19</v>
      </c>
      <c r="C546" t="str">
        <f t="shared" si="24"/>
        <v>3798512613546</v>
      </c>
      <c r="D546" t="str">
        <f t="shared" si="25"/>
        <v>Client546</v>
      </c>
      <c r="E546" t="str">
        <f t="shared" si="26"/>
        <v>BOB546</v>
      </c>
      <c r="G546" s="11"/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</row>
    <row r="547" spans="1:14" x14ac:dyDescent="0.3">
      <c r="A547" s="10">
        <v>46027</v>
      </c>
      <c r="B547" t="s">
        <v>19</v>
      </c>
      <c r="C547" t="str">
        <f t="shared" si="24"/>
        <v>3798512613547</v>
      </c>
      <c r="D547" t="str">
        <f t="shared" si="25"/>
        <v>Client547</v>
      </c>
      <c r="E547" t="str">
        <f t="shared" si="26"/>
        <v>BOB547</v>
      </c>
      <c r="F547" t="s">
        <v>25</v>
      </c>
      <c r="G547" s="11" t="s">
        <v>21</v>
      </c>
      <c r="H547" s="11">
        <v>0</v>
      </c>
      <c r="I547" s="11">
        <v>0</v>
      </c>
      <c r="J547" s="11">
        <v>5440000</v>
      </c>
      <c r="K547" s="11">
        <v>2450000</v>
      </c>
      <c r="L547" s="11">
        <v>11090500</v>
      </c>
      <c r="M547" s="11">
        <v>7734700</v>
      </c>
      <c r="N547" s="11">
        <v>0</v>
      </c>
    </row>
    <row r="548" spans="1:14" x14ac:dyDescent="0.3">
      <c r="A548" s="10">
        <v>46027</v>
      </c>
      <c r="B548" t="s">
        <v>19</v>
      </c>
      <c r="C548" t="str">
        <f t="shared" si="24"/>
        <v>3798512613548</v>
      </c>
      <c r="D548" t="str">
        <f t="shared" si="25"/>
        <v>Client548</v>
      </c>
      <c r="E548" t="str">
        <f t="shared" si="26"/>
        <v>BOB548</v>
      </c>
      <c r="G548" s="11"/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</row>
    <row r="549" spans="1:14" x14ac:dyDescent="0.3">
      <c r="A549" s="10">
        <v>46027</v>
      </c>
      <c r="B549" t="s">
        <v>19</v>
      </c>
      <c r="C549" t="str">
        <f t="shared" si="24"/>
        <v>3798512613549</v>
      </c>
      <c r="D549" t="str">
        <f t="shared" si="25"/>
        <v>Client549</v>
      </c>
      <c r="E549" t="str">
        <f t="shared" si="26"/>
        <v>BOB549</v>
      </c>
      <c r="F549" t="s">
        <v>25</v>
      </c>
      <c r="G549" s="11" t="s">
        <v>21</v>
      </c>
      <c r="H549" s="11">
        <v>0</v>
      </c>
      <c r="I549" s="11">
        <v>0</v>
      </c>
      <c r="J549" s="11">
        <v>0</v>
      </c>
      <c r="K549" s="11">
        <v>0</v>
      </c>
      <c r="L549" s="11">
        <v>2125600</v>
      </c>
      <c r="M549" s="11">
        <v>3172300</v>
      </c>
      <c r="N549" s="11">
        <v>0</v>
      </c>
    </row>
    <row r="550" spans="1:14" x14ac:dyDescent="0.3">
      <c r="A550" s="10">
        <v>46027</v>
      </c>
      <c r="B550" t="s">
        <v>19</v>
      </c>
      <c r="C550" t="str">
        <f t="shared" si="24"/>
        <v>3798512613550</v>
      </c>
      <c r="D550" t="str">
        <f t="shared" si="25"/>
        <v>Client550</v>
      </c>
      <c r="E550" t="str">
        <f t="shared" si="26"/>
        <v>BOB550</v>
      </c>
      <c r="F550" t="s">
        <v>25</v>
      </c>
      <c r="G550" s="11" t="s">
        <v>21</v>
      </c>
      <c r="H550" s="11">
        <v>0</v>
      </c>
      <c r="I550" s="11">
        <v>199292500</v>
      </c>
      <c r="J550" s="11">
        <v>197500000</v>
      </c>
      <c r="K550" s="11">
        <v>1806100</v>
      </c>
      <c r="L550" s="11">
        <v>1861600</v>
      </c>
      <c r="M550" s="11">
        <v>5704500</v>
      </c>
      <c r="N550" s="11">
        <v>0</v>
      </c>
    </row>
    <row r="551" spans="1:14" x14ac:dyDescent="0.3">
      <c r="A551" s="10">
        <v>46027</v>
      </c>
      <c r="B551" t="s">
        <v>19</v>
      </c>
      <c r="C551" t="str">
        <f t="shared" si="24"/>
        <v>3798512613551</v>
      </c>
      <c r="D551" t="str">
        <f t="shared" si="25"/>
        <v>Client551</v>
      </c>
      <c r="E551" t="str">
        <f t="shared" si="26"/>
        <v>BOB551</v>
      </c>
      <c r="G551" s="11"/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</row>
    <row r="552" spans="1:14" x14ac:dyDescent="0.3">
      <c r="A552" s="10">
        <v>46027</v>
      </c>
      <c r="B552" t="s">
        <v>19</v>
      </c>
      <c r="C552" t="str">
        <f t="shared" si="24"/>
        <v>3798512613552</v>
      </c>
      <c r="D552" t="str">
        <f t="shared" si="25"/>
        <v>Client552</v>
      </c>
      <c r="E552" t="str">
        <f t="shared" si="26"/>
        <v>BOB552</v>
      </c>
      <c r="F552" t="s">
        <v>20</v>
      </c>
      <c r="G552" s="11" t="s">
        <v>21</v>
      </c>
      <c r="H552" s="11">
        <v>0</v>
      </c>
      <c r="I552" s="11">
        <v>0</v>
      </c>
      <c r="J552" s="11">
        <v>0</v>
      </c>
      <c r="K552" s="11">
        <v>5400000</v>
      </c>
      <c r="L552" s="11">
        <v>1741100</v>
      </c>
      <c r="M552" s="11">
        <v>8533100</v>
      </c>
      <c r="N552" s="11">
        <v>0</v>
      </c>
    </row>
    <row r="553" spans="1:14" x14ac:dyDescent="0.3">
      <c r="A553" s="10">
        <v>46027</v>
      </c>
      <c r="B553" t="s">
        <v>19</v>
      </c>
      <c r="C553" t="str">
        <f t="shared" si="24"/>
        <v>3798512613553</v>
      </c>
      <c r="D553" t="str">
        <f t="shared" si="25"/>
        <v>Client553</v>
      </c>
      <c r="E553" t="str">
        <f t="shared" si="26"/>
        <v>BOB553</v>
      </c>
      <c r="G553" s="11"/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</row>
    <row r="554" spans="1:14" x14ac:dyDescent="0.3">
      <c r="A554" s="10">
        <v>46027</v>
      </c>
      <c r="B554" t="s">
        <v>19</v>
      </c>
      <c r="C554" t="str">
        <f t="shared" si="24"/>
        <v>3798512613554</v>
      </c>
      <c r="D554" t="str">
        <f t="shared" si="25"/>
        <v>Client554</v>
      </c>
      <c r="E554" t="str">
        <f t="shared" si="26"/>
        <v>BOB554</v>
      </c>
      <c r="F554" t="s">
        <v>20</v>
      </c>
      <c r="G554" s="11" t="s">
        <v>21</v>
      </c>
      <c r="H554" s="11">
        <v>0</v>
      </c>
      <c r="I554" s="11">
        <v>2150000</v>
      </c>
      <c r="J554" s="11">
        <v>0</v>
      </c>
      <c r="K554" s="11">
        <v>0</v>
      </c>
      <c r="L554" s="11">
        <v>822000</v>
      </c>
      <c r="M554" s="11">
        <v>3091500</v>
      </c>
      <c r="N554" s="11">
        <v>0</v>
      </c>
    </row>
    <row r="555" spans="1:14" x14ac:dyDescent="0.3">
      <c r="A555" s="10">
        <v>46027</v>
      </c>
      <c r="B555" t="s">
        <v>19</v>
      </c>
      <c r="C555" t="str">
        <f t="shared" si="24"/>
        <v>3798512613555</v>
      </c>
      <c r="D555" t="str">
        <f t="shared" si="25"/>
        <v>Client555</v>
      </c>
      <c r="E555" t="str">
        <f t="shared" si="26"/>
        <v>BOB555</v>
      </c>
      <c r="F555" t="s">
        <v>22</v>
      </c>
      <c r="G555" s="11" t="s">
        <v>23</v>
      </c>
      <c r="H555" s="11">
        <v>0</v>
      </c>
      <c r="I555" s="11">
        <v>0</v>
      </c>
      <c r="J555" s="11">
        <v>5000000</v>
      </c>
      <c r="K555" s="11">
        <v>15000000</v>
      </c>
      <c r="L555" s="11">
        <v>10914400</v>
      </c>
      <c r="M555" s="11">
        <v>20648000</v>
      </c>
      <c r="N555" s="11">
        <v>0</v>
      </c>
    </row>
    <row r="556" spans="1:14" x14ac:dyDescent="0.3">
      <c r="A556" s="10">
        <v>46027</v>
      </c>
      <c r="B556" t="s">
        <v>19</v>
      </c>
      <c r="C556" t="str">
        <f t="shared" si="24"/>
        <v>3798512613556</v>
      </c>
      <c r="D556" t="str">
        <f t="shared" si="25"/>
        <v>Client556</v>
      </c>
      <c r="E556" t="str">
        <f t="shared" si="26"/>
        <v>BOB556</v>
      </c>
      <c r="G556" s="11"/>
      <c r="H556" s="11">
        <v>0</v>
      </c>
      <c r="I556" s="11">
        <v>0</v>
      </c>
      <c r="J556" s="11">
        <v>0</v>
      </c>
      <c r="K556" s="11">
        <v>0</v>
      </c>
      <c r="L556" s="11">
        <v>2526600</v>
      </c>
      <c r="M556" s="11">
        <v>3399100</v>
      </c>
      <c r="N556" s="11">
        <v>0</v>
      </c>
    </row>
    <row r="557" spans="1:14" x14ac:dyDescent="0.3">
      <c r="A557" s="10">
        <v>46027</v>
      </c>
      <c r="B557" t="s">
        <v>19</v>
      </c>
      <c r="C557" t="str">
        <f t="shared" si="24"/>
        <v>3798512613557</v>
      </c>
      <c r="D557" t="str">
        <f t="shared" si="25"/>
        <v>Client557</v>
      </c>
      <c r="E557" t="str">
        <f t="shared" si="26"/>
        <v>BOB557</v>
      </c>
      <c r="F557" t="s">
        <v>24</v>
      </c>
      <c r="G557" s="11" t="s">
        <v>21</v>
      </c>
      <c r="H557" s="11">
        <v>0</v>
      </c>
      <c r="I557" s="11">
        <v>0</v>
      </c>
      <c r="J557" s="11">
        <v>0</v>
      </c>
      <c r="K557" s="11">
        <v>1100000</v>
      </c>
      <c r="L557" s="11">
        <v>3254600</v>
      </c>
      <c r="M557" s="11">
        <v>4351900</v>
      </c>
      <c r="N557" s="11">
        <v>0</v>
      </c>
    </row>
    <row r="558" spans="1:14" x14ac:dyDescent="0.3">
      <c r="A558" s="10">
        <v>46027</v>
      </c>
      <c r="B558" t="s">
        <v>19</v>
      </c>
      <c r="C558" t="str">
        <f t="shared" si="24"/>
        <v>3798512613558</v>
      </c>
      <c r="D558" t="str">
        <f t="shared" si="25"/>
        <v>Client558</v>
      </c>
      <c r="E558" t="str">
        <f t="shared" si="26"/>
        <v>BOB558</v>
      </c>
      <c r="F558" t="s">
        <v>22</v>
      </c>
      <c r="G558" s="11" t="s">
        <v>23</v>
      </c>
      <c r="H558" s="11">
        <v>0</v>
      </c>
      <c r="I558" s="11">
        <v>0</v>
      </c>
      <c r="J558" s="11">
        <v>1000000</v>
      </c>
      <c r="K558" s="11">
        <v>500000</v>
      </c>
      <c r="L558" s="11">
        <v>2508000</v>
      </c>
      <c r="M558" s="11">
        <v>2383000</v>
      </c>
      <c r="N558" s="11">
        <v>0</v>
      </c>
    </row>
    <row r="559" spans="1:14" x14ac:dyDescent="0.3">
      <c r="A559" s="10">
        <v>46027</v>
      </c>
      <c r="B559" t="s">
        <v>19</v>
      </c>
      <c r="C559" t="str">
        <f t="shared" si="24"/>
        <v>3798512613559</v>
      </c>
      <c r="D559" t="str">
        <f t="shared" si="25"/>
        <v>Client559</v>
      </c>
      <c r="E559" t="str">
        <f t="shared" si="26"/>
        <v>BOB559</v>
      </c>
      <c r="F559" t="s">
        <v>20</v>
      </c>
      <c r="G559" s="11" t="s">
        <v>21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</row>
    <row r="560" spans="1:14" x14ac:dyDescent="0.3">
      <c r="A560" s="10">
        <v>46027</v>
      </c>
      <c r="B560" t="s">
        <v>19</v>
      </c>
      <c r="C560" t="str">
        <f t="shared" si="24"/>
        <v>3798512613560</v>
      </c>
      <c r="D560" t="str">
        <f t="shared" si="25"/>
        <v>Client560</v>
      </c>
      <c r="E560" t="str">
        <f t="shared" si="26"/>
        <v>BOB560</v>
      </c>
      <c r="F560" t="s">
        <v>20</v>
      </c>
      <c r="G560" s="11" t="s">
        <v>21</v>
      </c>
      <c r="H560" s="11">
        <v>0</v>
      </c>
      <c r="I560" s="11">
        <v>0</v>
      </c>
      <c r="J560" s="11">
        <v>0</v>
      </c>
      <c r="K560" s="11">
        <v>0</v>
      </c>
      <c r="L560" s="11">
        <v>2076200</v>
      </c>
      <c r="M560" s="11">
        <v>2602900</v>
      </c>
      <c r="N560" s="11">
        <v>0</v>
      </c>
    </row>
    <row r="561" spans="1:14" x14ac:dyDescent="0.3">
      <c r="A561" s="10">
        <v>46027</v>
      </c>
      <c r="B561" t="s">
        <v>19</v>
      </c>
      <c r="C561" t="str">
        <f t="shared" si="24"/>
        <v>3798512613561</v>
      </c>
      <c r="D561" t="str">
        <f t="shared" si="25"/>
        <v>Client561</v>
      </c>
      <c r="E561" t="str">
        <f t="shared" si="26"/>
        <v>BOB561</v>
      </c>
      <c r="G561" s="11"/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</row>
    <row r="562" spans="1:14" x14ac:dyDescent="0.3">
      <c r="A562" s="10">
        <v>46027</v>
      </c>
      <c r="B562" t="s">
        <v>19</v>
      </c>
      <c r="C562" t="str">
        <f t="shared" si="24"/>
        <v>3798512613562</v>
      </c>
      <c r="D562" t="str">
        <f t="shared" si="25"/>
        <v>Client562</v>
      </c>
      <c r="E562" t="str">
        <f t="shared" si="26"/>
        <v>BOB562</v>
      </c>
      <c r="F562" t="s">
        <v>25</v>
      </c>
      <c r="G562" s="11" t="s">
        <v>21</v>
      </c>
      <c r="H562" s="11">
        <v>0</v>
      </c>
      <c r="I562" s="11">
        <v>0</v>
      </c>
      <c r="J562" s="11">
        <v>200000</v>
      </c>
      <c r="K562" s="11">
        <v>200000</v>
      </c>
      <c r="L562" s="11">
        <v>0</v>
      </c>
      <c r="M562" s="11">
        <v>0</v>
      </c>
      <c r="N562" s="11">
        <v>0</v>
      </c>
    </row>
    <row r="563" spans="1:14" x14ac:dyDescent="0.3">
      <c r="A563" s="10">
        <v>46027</v>
      </c>
      <c r="B563" t="s">
        <v>19</v>
      </c>
      <c r="C563" t="str">
        <f t="shared" si="24"/>
        <v>3798512613563</v>
      </c>
      <c r="D563" t="str">
        <f t="shared" si="25"/>
        <v>Client563</v>
      </c>
      <c r="E563" t="str">
        <f t="shared" si="26"/>
        <v>BOB563</v>
      </c>
      <c r="F563" t="s">
        <v>24</v>
      </c>
      <c r="G563" s="11" t="s">
        <v>21</v>
      </c>
      <c r="H563" s="11">
        <v>0</v>
      </c>
      <c r="I563" s="11">
        <v>0</v>
      </c>
      <c r="J563" s="11">
        <v>0</v>
      </c>
      <c r="K563" s="11">
        <v>1000000</v>
      </c>
      <c r="L563" s="11">
        <v>17715900</v>
      </c>
      <c r="M563" s="11">
        <v>23796400</v>
      </c>
      <c r="N563" s="11">
        <v>0</v>
      </c>
    </row>
    <row r="564" spans="1:14" x14ac:dyDescent="0.3">
      <c r="A564" s="10">
        <v>46027</v>
      </c>
      <c r="B564" t="s">
        <v>19</v>
      </c>
      <c r="C564" t="str">
        <f t="shared" si="24"/>
        <v>3798512613564</v>
      </c>
      <c r="D564" t="str">
        <f t="shared" si="25"/>
        <v>Client564</v>
      </c>
      <c r="E564" t="str">
        <f t="shared" si="26"/>
        <v>BOB564</v>
      </c>
      <c r="F564" t="s">
        <v>24</v>
      </c>
      <c r="G564" s="11" t="s">
        <v>21</v>
      </c>
      <c r="H564" s="11">
        <v>0</v>
      </c>
      <c r="I564" s="11">
        <v>0</v>
      </c>
      <c r="J564" s="11">
        <v>0</v>
      </c>
      <c r="K564" s="11">
        <v>4000000</v>
      </c>
      <c r="L564" s="11">
        <v>6644700</v>
      </c>
      <c r="M564" s="11">
        <v>10791200</v>
      </c>
      <c r="N564" s="11">
        <v>0</v>
      </c>
    </row>
    <row r="565" spans="1:14" x14ac:dyDescent="0.3">
      <c r="A565" s="10">
        <v>46027</v>
      </c>
      <c r="B565" t="s">
        <v>19</v>
      </c>
      <c r="C565" t="str">
        <f t="shared" si="24"/>
        <v>3798512613565</v>
      </c>
      <c r="D565" t="str">
        <f t="shared" si="25"/>
        <v>Client565</v>
      </c>
      <c r="E565" t="str">
        <f t="shared" si="26"/>
        <v>BOB565</v>
      </c>
      <c r="F565" t="s">
        <v>20</v>
      </c>
      <c r="G565" s="11" t="s">
        <v>21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x14ac:dyDescent="0.3">
      <c r="A566" s="10">
        <v>46027</v>
      </c>
      <c r="B566" t="s">
        <v>19</v>
      </c>
      <c r="C566" t="str">
        <f t="shared" si="24"/>
        <v>3798512613566</v>
      </c>
      <c r="D566" t="str">
        <f t="shared" si="25"/>
        <v>Client566</v>
      </c>
      <c r="E566" t="str">
        <f t="shared" si="26"/>
        <v>BOB566</v>
      </c>
      <c r="G566" s="11"/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x14ac:dyDescent="0.3">
      <c r="A567" s="10">
        <v>46027</v>
      </c>
      <c r="B567" t="s">
        <v>19</v>
      </c>
      <c r="C567" t="str">
        <f t="shared" si="24"/>
        <v>3798512613567</v>
      </c>
      <c r="D567" t="str">
        <f t="shared" si="25"/>
        <v>Client567</v>
      </c>
      <c r="E567" t="str">
        <f t="shared" si="26"/>
        <v>BOB567</v>
      </c>
      <c r="F567" t="s">
        <v>24</v>
      </c>
      <c r="G567" s="11" t="s">
        <v>64</v>
      </c>
      <c r="H567" s="11">
        <v>0</v>
      </c>
      <c r="I567" s="11">
        <v>0</v>
      </c>
      <c r="J567" s="11">
        <v>0</v>
      </c>
      <c r="K567" s="11">
        <v>1100000</v>
      </c>
      <c r="L567" s="11">
        <v>20785900</v>
      </c>
      <c r="M567" s="11">
        <v>18455900</v>
      </c>
      <c r="N567" s="11">
        <v>0</v>
      </c>
    </row>
    <row r="568" spans="1:14" x14ac:dyDescent="0.3">
      <c r="A568" s="10">
        <v>46027</v>
      </c>
      <c r="B568" t="s">
        <v>19</v>
      </c>
      <c r="C568" t="str">
        <f t="shared" si="24"/>
        <v>3798512613568</v>
      </c>
      <c r="D568" t="str">
        <f t="shared" si="25"/>
        <v>Client568</v>
      </c>
      <c r="E568" t="str">
        <f t="shared" si="26"/>
        <v>BOB568</v>
      </c>
      <c r="G568" s="11"/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</row>
    <row r="569" spans="1:14" x14ac:dyDescent="0.3">
      <c r="A569" s="10">
        <v>46027</v>
      </c>
      <c r="B569" t="s">
        <v>19</v>
      </c>
      <c r="C569" t="str">
        <f t="shared" si="24"/>
        <v>3798512613569</v>
      </c>
      <c r="D569" t="str">
        <f t="shared" si="25"/>
        <v>Client569</v>
      </c>
      <c r="E569" t="str">
        <f t="shared" si="26"/>
        <v>BOB569</v>
      </c>
      <c r="F569" t="s">
        <v>24</v>
      </c>
      <c r="G569" s="11" t="s">
        <v>21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x14ac:dyDescent="0.3">
      <c r="A570" s="10">
        <v>46027</v>
      </c>
      <c r="B570" t="s">
        <v>19</v>
      </c>
      <c r="C570" t="str">
        <f t="shared" si="24"/>
        <v>3798512613570</v>
      </c>
      <c r="D570" t="str">
        <f t="shared" si="25"/>
        <v>Client570</v>
      </c>
      <c r="E570" t="str">
        <f t="shared" si="26"/>
        <v>BOB570</v>
      </c>
      <c r="F570" t="s">
        <v>20</v>
      </c>
      <c r="G570" s="11" t="s">
        <v>21</v>
      </c>
      <c r="H570" s="11">
        <v>0</v>
      </c>
      <c r="I570" s="11">
        <v>0</v>
      </c>
      <c r="J570" s="11">
        <v>0</v>
      </c>
      <c r="K570" s="11">
        <v>0</v>
      </c>
      <c r="L570" s="11">
        <v>23944900</v>
      </c>
      <c r="M570" s="11">
        <v>27353100</v>
      </c>
      <c r="N570" s="11">
        <v>0</v>
      </c>
    </row>
    <row r="571" spans="1:14" x14ac:dyDescent="0.3">
      <c r="A571" s="10">
        <v>46027</v>
      </c>
      <c r="B571" t="s">
        <v>19</v>
      </c>
      <c r="C571" t="str">
        <f t="shared" si="24"/>
        <v>3798512613571</v>
      </c>
      <c r="D571" t="str">
        <f t="shared" si="25"/>
        <v>Client571</v>
      </c>
      <c r="E571" t="str">
        <f t="shared" si="26"/>
        <v>BOB571</v>
      </c>
      <c r="F571" t="s">
        <v>24</v>
      </c>
      <c r="G571" s="11" t="s">
        <v>64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x14ac:dyDescent="0.3">
      <c r="A572" s="10">
        <v>46027</v>
      </c>
      <c r="B572" t="s">
        <v>19</v>
      </c>
      <c r="C572" t="str">
        <f t="shared" si="24"/>
        <v>3798512613572</v>
      </c>
      <c r="D572" t="str">
        <f t="shared" si="25"/>
        <v>Client572</v>
      </c>
      <c r="E572" t="str">
        <f t="shared" si="26"/>
        <v>BOB572</v>
      </c>
      <c r="F572" t="s">
        <v>25</v>
      </c>
      <c r="G572" s="11" t="s">
        <v>21</v>
      </c>
      <c r="H572" s="11">
        <v>22000000</v>
      </c>
      <c r="I572" s="11">
        <v>36835500</v>
      </c>
      <c r="J572" s="11">
        <v>63600000</v>
      </c>
      <c r="K572" s="11">
        <v>8645700</v>
      </c>
      <c r="L572" s="11">
        <v>43019000</v>
      </c>
      <c r="M572" s="11">
        <v>6678700</v>
      </c>
      <c r="N572" s="11">
        <v>0</v>
      </c>
    </row>
    <row r="573" spans="1:14" x14ac:dyDescent="0.3">
      <c r="A573" s="10">
        <v>46027</v>
      </c>
      <c r="B573" t="s">
        <v>19</v>
      </c>
      <c r="C573" t="str">
        <f t="shared" si="24"/>
        <v>3798512613573</v>
      </c>
      <c r="D573" t="str">
        <f t="shared" si="25"/>
        <v>Client573</v>
      </c>
      <c r="E573" t="str">
        <f t="shared" si="26"/>
        <v>BOB573</v>
      </c>
      <c r="F573" t="s">
        <v>25</v>
      </c>
      <c r="G573" s="11" t="s">
        <v>21</v>
      </c>
      <c r="H573" s="11">
        <v>0</v>
      </c>
      <c r="I573" s="11">
        <v>0</v>
      </c>
      <c r="J573" s="11">
        <v>0</v>
      </c>
      <c r="K573" s="11">
        <v>0</v>
      </c>
      <c r="L573" s="11">
        <v>6997300</v>
      </c>
      <c r="M573" s="11">
        <v>5921000</v>
      </c>
      <c r="N573" s="11">
        <v>0</v>
      </c>
    </row>
    <row r="574" spans="1:14" x14ac:dyDescent="0.3">
      <c r="A574" s="10">
        <v>46027</v>
      </c>
      <c r="B574" t="s">
        <v>19</v>
      </c>
      <c r="C574" t="str">
        <f t="shared" si="24"/>
        <v>3798512613574</v>
      </c>
      <c r="D574" t="str">
        <f t="shared" si="25"/>
        <v>Client574</v>
      </c>
      <c r="E574" t="str">
        <f t="shared" si="26"/>
        <v>BOB574</v>
      </c>
      <c r="F574" t="s">
        <v>26</v>
      </c>
      <c r="G574" s="11" t="s">
        <v>46</v>
      </c>
      <c r="H574" s="11">
        <v>0</v>
      </c>
      <c r="I574" s="11">
        <v>0</v>
      </c>
      <c r="J574" s="11">
        <v>0</v>
      </c>
      <c r="K574" s="11">
        <v>0</v>
      </c>
      <c r="L574" s="11">
        <v>16200</v>
      </c>
      <c r="M574" s="11">
        <v>184200</v>
      </c>
      <c r="N574" s="11">
        <v>0</v>
      </c>
    </row>
    <row r="575" spans="1:14" x14ac:dyDescent="0.3">
      <c r="A575" s="10">
        <v>46027</v>
      </c>
      <c r="B575" t="s">
        <v>19</v>
      </c>
      <c r="C575" t="str">
        <f t="shared" si="24"/>
        <v>3798512613575</v>
      </c>
      <c r="D575" t="str">
        <f t="shared" si="25"/>
        <v>Client575</v>
      </c>
      <c r="E575" t="str">
        <f t="shared" si="26"/>
        <v>BOB575</v>
      </c>
      <c r="F575" t="s">
        <v>25</v>
      </c>
      <c r="G575" s="11" t="s">
        <v>21</v>
      </c>
      <c r="H575" s="11">
        <v>0</v>
      </c>
      <c r="I575" s="11">
        <v>0</v>
      </c>
      <c r="J575" s="11">
        <v>0</v>
      </c>
      <c r="K575" s="11">
        <v>0</v>
      </c>
      <c r="L575" s="11">
        <v>1795200</v>
      </c>
      <c r="M575" s="11">
        <v>1360700</v>
      </c>
      <c r="N575" s="11">
        <v>0</v>
      </c>
    </row>
    <row r="576" spans="1:14" x14ac:dyDescent="0.3">
      <c r="A576" s="10">
        <v>46027</v>
      </c>
      <c r="B576" t="s">
        <v>19</v>
      </c>
      <c r="C576" t="str">
        <f t="shared" si="24"/>
        <v>3798512613576</v>
      </c>
      <c r="D576" t="str">
        <f t="shared" si="25"/>
        <v>Client576</v>
      </c>
      <c r="E576" t="str">
        <f t="shared" si="26"/>
        <v>BOB576</v>
      </c>
      <c r="G576" s="11"/>
      <c r="H576" s="11">
        <v>0</v>
      </c>
      <c r="I576" s="11">
        <v>0</v>
      </c>
      <c r="J576" s="11">
        <v>0</v>
      </c>
      <c r="K576" s="11">
        <v>0</v>
      </c>
      <c r="L576" s="11">
        <v>7396200</v>
      </c>
      <c r="M576" s="11">
        <v>6363000</v>
      </c>
      <c r="N576" s="11">
        <v>0</v>
      </c>
    </row>
    <row r="577" spans="1:14" x14ac:dyDescent="0.3">
      <c r="A577" s="10">
        <v>46027</v>
      </c>
      <c r="B577" t="s">
        <v>19</v>
      </c>
      <c r="C577" t="str">
        <f t="shared" si="24"/>
        <v>3798512613577</v>
      </c>
      <c r="D577" t="str">
        <f t="shared" si="25"/>
        <v>Client577</v>
      </c>
      <c r="E577" t="str">
        <f t="shared" si="26"/>
        <v>BOB577</v>
      </c>
      <c r="F577" t="s">
        <v>24</v>
      </c>
      <c r="G577" s="11" t="s">
        <v>55</v>
      </c>
      <c r="H577" s="11">
        <v>0</v>
      </c>
      <c r="I577" s="11">
        <v>0</v>
      </c>
      <c r="J577" s="11">
        <v>0</v>
      </c>
      <c r="K577" s="11">
        <v>3100000</v>
      </c>
      <c r="L577" s="11">
        <v>19962400</v>
      </c>
      <c r="M577" s="11">
        <v>13929600</v>
      </c>
      <c r="N577" s="11">
        <v>0</v>
      </c>
    </row>
    <row r="578" spans="1:14" x14ac:dyDescent="0.3">
      <c r="A578" s="10">
        <v>46027</v>
      </c>
      <c r="B578" t="s">
        <v>19</v>
      </c>
      <c r="C578" t="str">
        <f t="shared" si="24"/>
        <v>3798512613578</v>
      </c>
      <c r="D578" t="str">
        <f t="shared" si="25"/>
        <v>Client578</v>
      </c>
      <c r="E578" t="str">
        <f t="shared" si="26"/>
        <v>BOB578</v>
      </c>
      <c r="F578" t="s">
        <v>22</v>
      </c>
      <c r="G578" s="11" t="s">
        <v>23</v>
      </c>
      <c r="H578" s="11">
        <v>0</v>
      </c>
      <c r="I578" s="11">
        <v>0</v>
      </c>
      <c r="J578" s="11">
        <v>0</v>
      </c>
      <c r="K578" s="11">
        <v>4400000</v>
      </c>
      <c r="L578" s="11">
        <v>1920000</v>
      </c>
      <c r="M578" s="11">
        <v>1950000</v>
      </c>
      <c r="N578" s="11">
        <v>0</v>
      </c>
    </row>
    <row r="579" spans="1:14" x14ac:dyDescent="0.3">
      <c r="A579" s="10">
        <v>46027</v>
      </c>
      <c r="B579" t="s">
        <v>19</v>
      </c>
      <c r="C579" t="str">
        <f t="shared" ref="C579:C642" si="27" xml:space="preserve"> "3798512613" &amp; ROW()</f>
        <v>3798512613579</v>
      </c>
      <c r="D579" t="str">
        <f t="shared" ref="D579:D642" si="28">"Client"&amp;ROW()</f>
        <v>Client579</v>
      </c>
      <c r="E579" t="str">
        <f t="shared" ref="E579:E642" si="29">"BOB"&amp;ROW()</f>
        <v>BOB579</v>
      </c>
      <c r="F579" t="s">
        <v>25</v>
      </c>
      <c r="G579" s="11" t="s">
        <v>21</v>
      </c>
      <c r="H579" s="11">
        <v>0</v>
      </c>
      <c r="I579" s="11">
        <v>1354000</v>
      </c>
      <c r="J579" s="11">
        <v>0</v>
      </c>
      <c r="K579" s="11">
        <v>0</v>
      </c>
      <c r="L579" s="11">
        <v>5905900</v>
      </c>
      <c r="M579" s="11">
        <v>7985600</v>
      </c>
      <c r="N579" s="11">
        <v>0</v>
      </c>
    </row>
    <row r="580" spans="1:14" x14ac:dyDescent="0.3">
      <c r="A580" s="10">
        <v>46027</v>
      </c>
      <c r="B580" t="s">
        <v>19</v>
      </c>
      <c r="C580" t="str">
        <f t="shared" si="27"/>
        <v>3798512613580</v>
      </c>
      <c r="D580" t="str">
        <f t="shared" si="28"/>
        <v>Client580</v>
      </c>
      <c r="E580" t="str">
        <f t="shared" si="29"/>
        <v>BOB580</v>
      </c>
      <c r="G580" s="11"/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x14ac:dyDescent="0.3">
      <c r="A581" s="10">
        <v>46027</v>
      </c>
      <c r="B581" t="s">
        <v>19</v>
      </c>
      <c r="C581" t="str">
        <f t="shared" si="27"/>
        <v>3798512613581</v>
      </c>
      <c r="D581" t="str">
        <f t="shared" si="28"/>
        <v>Client581</v>
      </c>
      <c r="E581" t="str">
        <f t="shared" si="29"/>
        <v>BOB581</v>
      </c>
      <c r="F581" t="s">
        <v>25</v>
      </c>
      <c r="G581" s="11" t="s">
        <v>21</v>
      </c>
      <c r="H581" s="11">
        <v>0</v>
      </c>
      <c r="I581" s="11">
        <v>30045000</v>
      </c>
      <c r="J581" s="11">
        <v>0</v>
      </c>
      <c r="K581" s="11">
        <v>0</v>
      </c>
      <c r="L581" s="11">
        <v>101500700</v>
      </c>
      <c r="M581" s="11">
        <v>133635800</v>
      </c>
      <c r="N581" s="11">
        <v>0</v>
      </c>
    </row>
    <row r="582" spans="1:14" x14ac:dyDescent="0.3">
      <c r="A582" s="10">
        <v>46027</v>
      </c>
      <c r="B582" t="s">
        <v>19</v>
      </c>
      <c r="C582" t="str">
        <f t="shared" si="27"/>
        <v>3798512613582</v>
      </c>
      <c r="D582" t="str">
        <f t="shared" si="28"/>
        <v>Client582</v>
      </c>
      <c r="E582" t="str">
        <f t="shared" si="29"/>
        <v>BOB582</v>
      </c>
      <c r="F582" t="s">
        <v>25</v>
      </c>
      <c r="G582" s="11" t="s">
        <v>21</v>
      </c>
      <c r="H582" s="11">
        <v>0</v>
      </c>
      <c r="I582" s="11">
        <v>0</v>
      </c>
      <c r="J582" s="11">
        <v>1866000</v>
      </c>
      <c r="K582" s="11">
        <v>2660000</v>
      </c>
      <c r="L582" s="11">
        <v>6949700</v>
      </c>
      <c r="M582" s="11">
        <v>7560500</v>
      </c>
      <c r="N582" s="11">
        <v>0</v>
      </c>
    </row>
    <row r="583" spans="1:14" x14ac:dyDescent="0.3">
      <c r="A583" s="10">
        <v>46027</v>
      </c>
      <c r="B583" t="s">
        <v>19</v>
      </c>
      <c r="C583" t="str">
        <f t="shared" si="27"/>
        <v>3798512613583</v>
      </c>
      <c r="D583" t="str">
        <f t="shared" si="28"/>
        <v>Client583</v>
      </c>
      <c r="E583" t="str">
        <f t="shared" si="29"/>
        <v>BOB583</v>
      </c>
      <c r="G583" s="11"/>
      <c r="H583" s="11">
        <v>0</v>
      </c>
      <c r="I583" s="11">
        <v>11016500</v>
      </c>
      <c r="J583" s="11">
        <v>0</v>
      </c>
      <c r="K583" s="11">
        <v>17025500</v>
      </c>
      <c r="L583" s="11">
        <v>4800700</v>
      </c>
      <c r="M583" s="11">
        <v>25449300</v>
      </c>
      <c r="N583" s="11">
        <v>0</v>
      </c>
    </row>
    <row r="584" spans="1:14" x14ac:dyDescent="0.3">
      <c r="A584" s="10">
        <v>46027</v>
      </c>
      <c r="B584" t="s">
        <v>19</v>
      </c>
      <c r="C584" t="str">
        <f t="shared" si="27"/>
        <v>3798512613584</v>
      </c>
      <c r="D584" t="str">
        <f t="shared" si="28"/>
        <v>Client584</v>
      </c>
      <c r="E584" t="str">
        <f t="shared" si="29"/>
        <v>BOB584</v>
      </c>
      <c r="G584" s="11"/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x14ac:dyDescent="0.3">
      <c r="A585" s="10">
        <v>46027</v>
      </c>
      <c r="B585" t="s">
        <v>19</v>
      </c>
      <c r="C585" t="str">
        <f t="shared" si="27"/>
        <v>3798512613585</v>
      </c>
      <c r="D585" t="str">
        <f t="shared" si="28"/>
        <v>Client585</v>
      </c>
      <c r="E585" t="str">
        <f t="shared" si="29"/>
        <v>BOB585</v>
      </c>
      <c r="F585" t="s">
        <v>20</v>
      </c>
      <c r="G585" s="11" t="s">
        <v>21</v>
      </c>
      <c r="H585" s="11">
        <v>0</v>
      </c>
      <c r="I585" s="11">
        <v>0</v>
      </c>
      <c r="J585" s="11">
        <v>500000</v>
      </c>
      <c r="K585" s="11">
        <v>11800000</v>
      </c>
      <c r="L585" s="11">
        <v>34161700</v>
      </c>
      <c r="M585" s="11">
        <v>50915300</v>
      </c>
      <c r="N585" s="11">
        <v>0</v>
      </c>
    </row>
    <row r="586" spans="1:14" x14ac:dyDescent="0.3">
      <c r="A586" s="10">
        <v>46027</v>
      </c>
      <c r="B586" t="s">
        <v>19</v>
      </c>
      <c r="C586" t="str">
        <f t="shared" si="27"/>
        <v>3798512613586</v>
      </c>
      <c r="D586" t="str">
        <f t="shared" si="28"/>
        <v>Client586</v>
      </c>
      <c r="E586" t="str">
        <f t="shared" si="29"/>
        <v>BOB586</v>
      </c>
      <c r="F586" t="s">
        <v>22</v>
      </c>
      <c r="G586" s="11" t="s">
        <v>23</v>
      </c>
      <c r="H586" s="11">
        <v>0</v>
      </c>
      <c r="I586" s="11">
        <v>0</v>
      </c>
      <c r="J586" s="11">
        <v>0</v>
      </c>
      <c r="K586" s="11">
        <v>0</v>
      </c>
      <c r="L586" s="11">
        <v>5335000</v>
      </c>
      <c r="M586" s="11">
        <v>5178000</v>
      </c>
      <c r="N586" s="11">
        <v>0</v>
      </c>
    </row>
    <row r="587" spans="1:14" x14ac:dyDescent="0.3">
      <c r="A587" s="10">
        <v>46027</v>
      </c>
      <c r="B587" t="s">
        <v>19</v>
      </c>
      <c r="C587" t="str">
        <f t="shared" si="27"/>
        <v>3798512613587</v>
      </c>
      <c r="D587" t="str">
        <f t="shared" si="28"/>
        <v>Client587</v>
      </c>
      <c r="E587" t="str">
        <f t="shared" si="29"/>
        <v>BOB587</v>
      </c>
      <c r="F587" t="s">
        <v>22</v>
      </c>
      <c r="G587" s="11" t="s">
        <v>23</v>
      </c>
      <c r="H587" s="11">
        <v>0</v>
      </c>
      <c r="I587" s="11">
        <v>0</v>
      </c>
      <c r="J587" s="11">
        <v>0</v>
      </c>
      <c r="K587" s="11">
        <v>800800</v>
      </c>
      <c r="L587" s="11">
        <v>16042500</v>
      </c>
      <c r="M587" s="11">
        <v>16664700</v>
      </c>
      <c r="N587" s="11">
        <v>0</v>
      </c>
    </row>
    <row r="588" spans="1:14" x14ac:dyDescent="0.3">
      <c r="A588" s="10">
        <v>46027</v>
      </c>
      <c r="B588" t="s">
        <v>19</v>
      </c>
      <c r="C588" t="str">
        <f t="shared" si="27"/>
        <v>3798512613588</v>
      </c>
      <c r="D588" t="str">
        <f t="shared" si="28"/>
        <v>Client588</v>
      </c>
      <c r="E588" t="str">
        <f t="shared" si="29"/>
        <v>BOB588</v>
      </c>
      <c r="F588" t="s">
        <v>22</v>
      </c>
      <c r="G588" s="11" t="s">
        <v>23</v>
      </c>
      <c r="H588" s="11">
        <v>0</v>
      </c>
      <c r="I588" s="11">
        <v>0</v>
      </c>
      <c r="J588" s="11">
        <v>0</v>
      </c>
      <c r="K588" s="11">
        <v>5455500</v>
      </c>
      <c r="L588" s="11">
        <v>19192900</v>
      </c>
      <c r="M588" s="11">
        <v>23738800</v>
      </c>
      <c r="N588" s="11">
        <v>0</v>
      </c>
    </row>
    <row r="589" spans="1:14" x14ac:dyDescent="0.3">
      <c r="A589" s="10">
        <v>46027</v>
      </c>
      <c r="B589" t="s">
        <v>19</v>
      </c>
      <c r="C589" t="str">
        <f t="shared" si="27"/>
        <v>3798512613589</v>
      </c>
      <c r="D589" t="str">
        <f t="shared" si="28"/>
        <v>Client589</v>
      </c>
      <c r="E589" t="str">
        <f t="shared" si="29"/>
        <v>BOB589</v>
      </c>
      <c r="G589" s="11"/>
      <c r="H589" s="11">
        <v>0</v>
      </c>
      <c r="I589" s="11">
        <v>0</v>
      </c>
      <c r="J589" s="11">
        <v>0</v>
      </c>
      <c r="K589" s="11">
        <v>0</v>
      </c>
      <c r="L589" s="11">
        <v>123300</v>
      </c>
      <c r="M589" s="11">
        <v>247600</v>
      </c>
      <c r="N589" s="11">
        <v>0</v>
      </c>
    </row>
    <row r="590" spans="1:14" x14ac:dyDescent="0.3">
      <c r="A590" s="10">
        <v>46027</v>
      </c>
      <c r="B590" t="s">
        <v>19</v>
      </c>
      <c r="C590" t="str">
        <f t="shared" si="27"/>
        <v>3798512613590</v>
      </c>
      <c r="D590" t="str">
        <f t="shared" si="28"/>
        <v>Client590</v>
      </c>
      <c r="E590" t="str">
        <f t="shared" si="29"/>
        <v>BOB590</v>
      </c>
      <c r="F590" t="s">
        <v>25</v>
      </c>
      <c r="G590" s="11" t="s">
        <v>21</v>
      </c>
      <c r="H590" s="11">
        <v>0</v>
      </c>
      <c r="I590" s="11">
        <v>0</v>
      </c>
      <c r="J590" s="11">
        <v>1100000</v>
      </c>
      <c r="K590" s="11">
        <v>6726000</v>
      </c>
      <c r="L590" s="11">
        <v>7639500</v>
      </c>
      <c r="M590" s="11">
        <v>12151400</v>
      </c>
      <c r="N590" s="11">
        <v>0</v>
      </c>
    </row>
    <row r="591" spans="1:14" x14ac:dyDescent="0.3">
      <c r="A591" s="10">
        <v>46027</v>
      </c>
      <c r="B591" t="s">
        <v>19</v>
      </c>
      <c r="C591" t="str">
        <f t="shared" si="27"/>
        <v>3798512613591</v>
      </c>
      <c r="D591" t="str">
        <f t="shared" si="28"/>
        <v>Client591</v>
      </c>
      <c r="E591" t="str">
        <f t="shared" si="29"/>
        <v>BOB591</v>
      </c>
      <c r="F591" t="s">
        <v>20</v>
      </c>
      <c r="G591" s="11" t="s">
        <v>21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x14ac:dyDescent="0.3">
      <c r="A592" s="10">
        <v>46027</v>
      </c>
      <c r="B592" t="s">
        <v>19</v>
      </c>
      <c r="C592" t="str">
        <f t="shared" si="27"/>
        <v>3798512613592</v>
      </c>
      <c r="D592" t="str">
        <f t="shared" si="28"/>
        <v>Client592</v>
      </c>
      <c r="E592" t="str">
        <f t="shared" si="29"/>
        <v>BOB592</v>
      </c>
      <c r="F592" t="s">
        <v>22</v>
      </c>
      <c r="G592" s="11" t="s">
        <v>23</v>
      </c>
      <c r="H592" s="11">
        <v>0</v>
      </c>
      <c r="I592" s="11">
        <v>0</v>
      </c>
      <c r="J592" s="11">
        <v>0</v>
      </c>
      <c r="K592" s="11">
        <v>0</v>
      </c>
      <c r="L592" s="11">
        <v>1540000</v>
      </c>
      <c r="M592" s="11">
        <v>2386500</v>
      </c>
      <c r="N592" s="11">
        <v>0</v>
      </c>
    </row>
    <row r="593" spans="1:14" x14ac:dyDescent="0.3">
      <c r="A593" s="10">
        <v>46027</v>
      </c>
      <c r="B593" t="s">
        <v>19</v>
      </c>
      <c r="C593" t="str">
        <f t="shared" si="27"/>
        <v>3798512613593</v>
      </c>
      <c r="D593" t="str">
        <f t="shared" si="28"/>
        <v>Client593</v>
      </c>
      <c r="E593" t="str">
        <f t="shared" si="29"/>
        <v>BOB593</v>
      </c>
      <c r="G593" s="11"/>
      <c r="H593" s="11">
        <v>0</v>
      </c>
      <c r="I593" s="11">
        <v>0</v>
      </c>
      <c r="J593" s="11">
        <v>0</v>
      </c>
      <c r="K593" s="11">
        <v>0</v>
      </c>
      <c r="L593" s="11">
        <v>505500</v>
      </c>
      <c r="M593" s="11">
        <v>1785800</v>
      </c>
      <c r="N593" s="11">
        <v>0</v>
      </c>
    </row>
    <row r="594" spans="1:14" x14ac:dyDescent="0.3">
      <c r="A594" s="10">
        <v>46027</v>
      </c>
      <c r="B594" t="s">
        <v>19</v>
      </c>
      <c r="C594" t="str">
        <f t="shared" si="27"/>
        <v>3798512613594</v>
      </c>
      <c r="D594" t="str">
        <f t="shared" si="28"/>
        <v>Client594</v>
      </c>
      <c r="E594" t="str">
        <f t="shared" si="29"/>
        <v>BOB594</v>
      </c>
      <c r="F594" t="s">
        <v>20</v>
      </c>
      <c r="G594" s="11" t="s">
        <v>21</v>
      </c>
      <c r="H594" s="11">
        <v>0</v>
      </c>
      <c r="I594" s="11">
        <v>0</v>
      </c>
      <c r="J594" s="11">
        <v>0</v>
      </c>
      <c r="K594" s="11">
        <v>0</v>
      </c>
      <c r="L594" s="11">
        <v>4045000</v>
      </c>
      <c r="M594" s="11">
        <v>3846500</v>
      </c>
      <c r="N594" s="11">
        <v>0</v>
      </c>
    </row>
    <row r="595" spans="1:14" x14ac:dyDescent="0.3">
      <c r="A595" s="10">
        <v>46027</v>
      </c>
      <c r="B595" t="s">
        <v>19</v>
      </c>
      <c r="C595" t="str">
        <f t="shared" si="27"/>
        <v>3798512613595</v>
      </c>
      <c r="D595" t="str">
        <f t="shared" si="28"/>
        <v>Client595</v>
      </c>
      <c r="E595" t="str">
        <f t="shared" si="29"/>
        <v>BOB595</v>
      </c>
      <c r="F595" t="s">
        <v>24</v>
      </c>
      <c r="G595" s="11" t="s">
        <v>21</v>
      </c>
      <c r="H595" s="11">
        <v>0</v>
      </c>
      <c r="I595" s="11">
        <v>0</v>
      </c>
      <c r="J595" s="11">
        <v>0</v>
      </c>
      <c r="K595" s="11">
        <v>0</v>
      </c>
      <c r="L595" s="11">
        <v>5320200</v>
      </c>
      <c r="M595" s="11">
        <v>5058200</v>
      </c>
      <c r="N595" s="11">
        <v>0</v>
      </c>
    </row>
    <row r="596" spans="1:14" x14ac:dyDescent="0.3">
      <c r="A596" s="10">
        <v>46027</v>
      </c>
      <c r="B596" t="s">
        <v>19</v>
      </c>
      <c r="C596" t="str">
        <f t="shared" si="27"/>
        <v>3798512613596</v>
      </c>
      <c r="D596" t="str">
        <f t="shared" si="28"/>
        <v>Client596</v>
      </c>
      <c r="E596" t="str">
        <f t="shared" si="29"/>
        <v>BOB596</v>
      </c>
      <c r="G596" s="11"/>
      <c r="H596" s="11">
        <v>0</v>
      </c>
      <c r="I596" s="11">
        <v>0</v>
      </c>
      <c r="J596" s="11">
        <v>0</v>
      </c>
      <c r="K596" s="11">
        <v>0</v>
      </c>
      <c r="L596" s="11">
        <v>187000</v>
      </c>
      <c r="M596" s="11">
        <v>304000</v>
      </c>
      <c r="N596" s="11">
        <v>100000</v>
      </c>
    </row>
    <row r="597" spans="1:14" x14ac:dyDescent="0.3">
      <c r="A597" s="10">
        <v>46027</v>
      </c>
      <c r="B597" t="s">
        <v>19</v>
      </c>
      <c r="C597" t="str">
        <f t="shared" si="27"/>
        <v>3798512613597</v>
      </c>
      <c r="D597" t="str">
        <f t="shared" si="28"/>
        <v>Client597</v>
      </c>
      <c r="E597" t="str">
        <f t="shared" si="29"/>
        <v>BOB597</v>
      </c>
      <c r="F597" t="s">
        <v>20</v>
      </c>
      <c r="G597" s="11" t="s">
        <v>21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x14ac:dyDescent="0.3">
      <c r="A598" s="10">
        <v>46027</v>
      </c>
      <c r="B598" t="s">
        <v>19</v>
      </c>
      <c r="C598" t="str">
        <f t="shared" si="27"/>
        <v>3798512613598</v>
      </c>
      <c r="D598" t="str">
        <f t="shared" si="28"/>
        <v>Client598</v>
      </c>
      <c r="E598" t="str">
        <f t="shared" si="29"/>
        <v>BOB598</v>
      </c>
      <c r="F598" t="s">
        <v>25</v>
      </c>
      <c r="G598" s="11" t="s">
        <v>21</v>
      </c>
      <c r="H598" s="11">
        <v>0</v>
      </c>
      <c r="I598" s="11">
        <v>0</v>
      </c>
      <c r="J598" s="11">
        <v>0</v>
      </c>
      <c r="K598" s="11">
        <v>0</v>
      </c>
      <c r="L598" s="11">
        <v>223600</v>
      </c>
      <c r="M598" s="11">
        <v>740000</v>
      </c>
      <c r="N598" s="11">
        <v>0</v>
      </c>
    </row>
    <row r="599" spans="1:14" x14ac:dyDescent="0.3">
      <c r="A599" s="10">
        <v>46027</v>
      </c>
      <c r="B599" t="s">
        <v>19</v>
      </c>
      <c r="C599" t="str">
        <f t="shared" si="27"/>
        <v>3798512613599</v>
      </c>
      <c r="D599" t="str">
        <f t="shared" si="28"/>
        <v>Client599</v>
      </c>
      <c r="E599" t="str">
        <f t="shared" si="29"/>
        <v>BOB599</v>
      </c>
      <c r="F599" t="s">
        <v>42</v>
      </c>
      <c r="G599" s="11" t="s">
        <v>21</v>
      </c>
      <c r="H599" s="11">
        <v>0</v>
      </c>
      <c r="I599" s="11">
        <v>0</v>
      </c>
      <c r="J599" s="11">
        <v>40185000</v>
      </c>
      <c r="K599" s="11">
        <v>0</v>
      </c>
      <c r="L599" s="11">
        <v>40447900</v>
      </c>
      <c r="M599" s="11">
        <v>0</v>
      </c>
      <c r="N599" s="11">
        <v>0</v>
      </c>
    </row>
    <row r="600" spans="1:14" x14ac:dyDescent="0.3">
      <c r="A600" s="10">
        <v>46027</v>
      </c>
      <c r="B600" t="s">
        <v>19</v>
      </c>
      <c r="C600" t="str">
        <f t="shared" si="27"/>
        <v>3798512613600</v>
      </c>
      <c r="D600" t="str">
        <f t="shared" si="28"/>
        <v>Client600</v>
      </c>
      <c r="E600" t="str">
        <f t="shared" si="29"/>
        <v>BOB600</v>
      </c>
      <c r="F600" t="s">
        <v>20</v>
      </c>
      <c r="G600" s="11" t="s">
        <v>21</v>
      </c>
      <c r="H600" s="11">
        <v>0</v>
      </c>
      <c r="I600" s="11">
        <v>0</v>
      </c>
      <c r="J600" s="11">
        <v>0</v>
      </c>
      <c r="K600" s="11">
        <v>0</v>
      </c>
      <c r="L600" s="11">
        <v>15464700</v>
      </c>
      <c r="M600" s="11">
        <v>13032700</v>
      </c>
      <c r="N600" s="11">
        <v>0</v>
      </c>
    </row>
    <row r="601" spans="1:14" x14ac:dyDescent="0.3">
      <c r="A601" s="10">
        <v>46027</v>
      </c>
      <c r="B601" t="s">
        <v>19</v>
      </c>
      <c r="C601" t="str">
        <f t="shared" si="27"/>
        <v>3798512613601</v>
      </c>
      <c r="D601" t="str">
        <f t="shared" si="28"/>
        <v>Client601</v>
      </c>
      <c r="E601" t="str">
        <f t="shared" si="29"/>
        <v>BOB601</v>
      </c>
      <c r="G601" s="11"/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x14ac:dyDescent="0.3">
      <c r="A602" s="10">
        <v>46027</v>
      </c>
      <c r="B602" t="s">
        <v>19</v>
      </c>
      <c r="C602" t="str">
        <f t="shared" si="27"/>
        <v>3798512613602</v>
      </c>
      <c r="D602" t="str">
        <f t="shared" si="28"/>
        <v>Client602</v>
      </c>
      <c r="E602" t="str">
        <f t="shared" si="29"/>
        <v>BOB602</v>
      </c>
      <c r="G602" s="11"/>
      <c r="H602" s="11">
        <v>0</v>
      </c>
      <c r="I602" s="11">
        <v>0</v>
      </c>
      <c r="J602" s="11">
        <v>0</v>
      </c>
      <c r="K602" s="11">
        <v>2000000</v>
      </c>
      <c r="L602" s="11">
        <v>3074900</v>
      </c>
      <c r="M602" s="11">
        <v>4860300</v>
      </c>
      <c r="N602" s="11">
        <v>0</v>
      </c>
    </row>
    <row r="603" spans="1:14" x14ac:dyDescent="0.3">
      <c r="A603" s="10">
        <v>46027</v>
      </c>
      <c r="B603" t="s">
        <v>19</v>
      </c>
      <c r="C603" t="str">
        <f t="shared" si="27"/>
        <v>3798512613603</v>
      </c>
      <c r="D603" t="str">
        <f t="shared" si="28"/>
        <v>Client603</v>
      </c>
      <c r="E603" t="str">
        <f t="shared" si="29"/>
        <v>BOB603</v>
      </c>
      <c r="G603" s="11"/>
      <c r="H603" s="11">
        <v>0</v>
      </c>
      <c r="I603" s="11">
        <v>0</v>
      </c>
      <c r="J603" s="11">
        <v>500000</v>
      </c>
      <c r="K603" s="11">
        <v>0</v>
      </c>
      <c r="L603" s="11">
        <v>573700</v>
      </c>
      <c r="M603" s="11">
        <v>0</v>
      </c>
      <c r="N603" s="11">
        <v>0</v>
      </c>
    </row>
    <row r="604" spans="1:14" x14ac:dyDescent="0.3">
      <c r="A604" s="10">
        <v>46027</v>
      </c>
      <c r="B604" t="s">
        <v>19</v>
      </c>
      <c r="C604" t="str">
        <f t="shared" si="27"/>
        <v>3798512613604</v>
      </c>
      <c r="D604" t="str">
        <f t="shared" si="28"/>
        <v>Client604</v>
      </c>
      <c r="E604" t="str">
        <f t="shared" si="29"/>
        <v>BOB604</v>
      </c>
      <c r="F604" t="s">
        <v>70</v>
      </c>
      <c r="G604" s="11" t="s">
        <v>71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x14ac:dyDescent="0.3">
      <c r="A605" s="10">
        <v>46027</v>
      </c>
      <c r="B605" t="s">
        <v>19</v>
      </c>
      <c r="C605" t="str">
        <f t="shared" si="27"/>
        <v>3798512613605</v>
      </c>
      <c r="D605" t="str">
        <f t="shared" si="28"/>
        <v>Client605</v>
      </c>
      <c r="E605" t="str">
        <f t="shared" si="29"/>
        <v>BOB605</v>
      </c>
      <c r="G605" s="11"/>
      <c r="H605" s="11">
        <v>0</v>
      </c>
      <c r="I605" s="11">
        <v>0</v>
      </c>
      <c r="J605" s="11">
        <v>0</v>
      </c>
      <c r="K605" s="11">
        <v>0</v>
      </c>
      <c r="L605" s="11">
        <v>22518200</v>
      </c>
      <c r="M605" s="11">
        <v>20183400</v>
      </c>
      <c r="N605" s="11">
        <v>0</v>
      </c>
    </row>
    <row r="606" spans="1:14" x14ac:dyDescent="0.3">
      <c r="A606" s="10">
        <v>46027</v>
      </c>
      <c r="B606" t="s">
        <v>19</v>
      </c>
      <c r="C606" t="str">
        <f t="shared" si="27"/>
        <v>3798512613606</v>
      </c>
      <c r="D606" t="str">
        <f t="shared" si="28"/>
        <v>Client606</v>
      </c>
      <c r="E606" t="str">
        <f t="shared" si="29"/>
        <v>BOB606</v>
      </c>
      <c r="G606" s="11"/>
      <c r="H606" s="11">
        <v>0</v>
      </c>
      <c r="I606" s="11">
        <v>0</v>
      </c>
      <c r="J606" s="11">
        <v>0</v>
      </c>
      <c r="K606" s="11">
        <v>0</v>
      </c>
      <c r="L606" s="11">
        <v>1640000</v>
      </c>
      <c r="M606" s="11">
        <v>340000</v>
      </c>
      <c r="N606" s="11">
        <v>0</v>
      </c>
    </row>
    <row r="607" spans="1:14" x14ac:dyDescent="0.3">
      <c r="A607" s="10">
        <v>46027</v>
      </c>
      <c r="B607" t="s">
        <v>19</v>
      </c>
      <c r="C607" t="str">
        <f t="shared" si="27"/>
        <v>3798512613607</v>
      </c>
      <c r="D607" t="str">
        <f t="shared" si="28"/>
        <v>Client607</v>
      </c>
      <c r="E607" t="str">
        <f t="shared" si="29"/>
        <v>BOB607</v>
      </c>
      <c r="F607" t="s">
        <v>20</v>
      </c>
      <c r="G607" s="11" t="s">
        <v>21</v>
      </c>
      <c r="H607" s="11">
        <v>0</v>
      </c>
      <c r="I607" s="11">
        <v>0</v>
      </c>
      <c r="J607" s="11">
        <v>0</v>
      </c>
      <c r="K607" s="11">
        <v>7300000</v>
      </c>
      <c r="L607" s="11">
        <v>4620100</v>
      </c>
      <c r="M607" s="11">
        <v>12020600</v>
      </c>
      <c r="N607" s="11">
        <v>0</v>
      </c>
    </row>
    <row r="608" spans="1:14" x14ac:dyDescent="0.3">
      <c r="A608" s="10">
        <v>46027</v>
      </c>
      <c r="B608" t="s">
        <v>19</v>
      </c>
      <c r="C608" t="str">
        <f t="shared" si="27"/>
        <v>3798512613608</v>
      </c>
      <c r="D608" t="str">
        <f t="shared" si="28"/>
        <v>Client608</v>
      </c>
      <c r="E608" t="str">
        <f t="shared" si="29"/>
        <v>BOB608</v>
      </c>
      <c r="G608" s="11"/>
      <c r="H608" s="11">
        <v>0</v>
      </c>
      <c r="I608" s="11">
        <v>0</v>
      </c>
      <c r="J608" s="11">
        <v>1500000</v>
      </c>
      <c r="K608" s="11">
        <v>4004000</v>
      </c>
      <c r="L608" s="11">
        <v>27220300</v>
      </c>
      <c r="M608" s="11">
        <v>24547700</v>
      </c>
      <c r="N608" s="11">
        <v>0</v>
      </c>
    </row>
    <row r="609" spans="1:14" x14ac:dyDescent="0.3">
      <c r="A609" s="10">
        <v>46027</v>
      </c>
      <c r="B609" t="s">
        <v>19</v>
      </c>
      <c r="C609" t="str">
        <f t="shared" si="27"/>
        <v>3798512613609</v>
      </c>
      <c r="D609" t="str">
        <f t="shared" si="28"/>
        <v>Client609</v>
      </c>
      <c r="E609" t="str">
        <f t="shared" si="29"/>
        <v>BOB609</v>
      </c>
      <c r="F609" t="s">
        <v>22</v>
      </c>
      <c r="G609" s="11" t="s">
        <v>23</v>
      </c>
      <c r="H609" s="11">
        <v>0</v>
      </c>
      <c r="I609" s="11">
        <v>0</v>
      </c>
      <c r="J609" s="11">
        <v>0</v>
      </c>
      <c r="K609" s="11">
        <v>1001000</v>
      </c>
      <c r="L609" s="11">
        <v>14002500</v>
      </c>
      <c r="M609" s="11">
        <v>14455000</v>
      </c>
      <c r="N609" s="11">
        <v>0</v>
      </c>
    </row>
    <row r="610" spans="1:14" x14ac:dyDescent="0.3">
      <c r="A610" s="10">
        <v>46027</v>
      </c>
      <c r="B610" t="s">
        <v>19</v>
      </c>
      <c r="C610" t="str">
        <f t="shared" si="27"/>
        <v>3798512613610</v>
      </c>
      <c r="D610" t="str">
        <f t="shared" si="28"/>
        <v>Client610</v>
      </c>
      <c r="E610" t="str">
        <f t="shared" si="29"/>
        <v>BOB610</v>
      </c>
      <c r="F610" t="s">
        <v>26</v>
      </c>
      <c r="G610" s="11" t="s">
        <v>21</v>
      </c>
      <c r="H610" s="11">
        <v>0</v>
      </c>
      <c r="I610" s="11">
        <v>0</v>
      </c>
      <c r="J610" s="11">
        <v>0</v>
      </c>
      <c r="K610" s="11">
        <v>0</v>
      </c>
      <c r="L610" s="11">
        <v>9031300</v>
      </c>
      <c r="M610" s="11">
        <v>8702400</v>
      </c>
      <c r="N610" s="11">
        <v>0</v>
      </c>
    </row>
    <row r="611" spans="1:14" x14ac:dyDescent="0.3">
      <c r="A611" s="10">
        <v>46027</v>
      </c>
      <c r="B611" t="s">
        <v>19</v>
      </c>
      <c r="C611" t="str">
        <f t="shared" si="27"/>
        <v>3798512613611</v>
      </c>
      <c r="D611" t="str">
        <f t="shared" si="28"/>
        <v>Client611</v>
      </c>
      <c r="E611" t="str">
        <f t="shared" si="29"/>
        <v>BOB611</v>
      </c>
      <c r="F611" t="s">
        <v>24</v>
      </c>
      <c r="G611" s="11" t="s">
        <v>21</v>
      </c>
      <c r="H611" s="11">
        <v>0</v>
      </c>
      <c r="I611" s="11">
        <v>0</v>
      </c>
      <c r="J611" s="11">
        <v>4000000</v>
      </c>
      <c r="K611" s="11">
        <v>12500000</v>
      </c>
      <c r="L611" s="11">
        <v>17218800</v>
      </c>
      <c r="M611" s="11">
        <v>27014000</v>
      </c>
      <c r="N611" s="11">
        <v>0</v>
      </c>
    </row>
    <row r="612" spans="1:14" x14ac:dyDescent="0.3">
      <c r="A612" s="10">
        <v>46027</v>
      </c>
      <c r="B612" t="s">
        <v>19</v>
      </c>
      <c r="C612" t="str">
        <f t="shared" si="27"/>
        <v>3798512613612</v>
      </c>
      <c r="D612" t="str">
        <f t="shared" si="28"/>
        <v>Client612</v>
      </c>
      <c r="E612" t="str">
        <f t="shared" si="29"/>
        <v>BOB612</v>
      </c>
      <c r="F612" t="s">
        <v>20</v>
      </c>
      <c r="G612" s="11" t="s">
        <v>21</v>
      </c>
      <c r="H612" s="11">
        <v>0</v>
      </c>
      <c r="I612" s="11">
        <v>0</v>
      </c>
      <c r="J612" s="11">
        <v>0</v>
      </c>
      <c r="K612" s="11">
        <v>3318500</v>
      </c>
      <c r="L612" s="11">
        <v>3492400</v>
      </c>
      <c r="M612" s="11">
        <v>6723000</v>
      </c>
      <c r="N612" s="11">
        <v>0</v>
      </c>
    </row>
    <row r="613" spans="1:14" x14ac:dyDescent="0.3">
      <c r="A613" s="10">
        <v>46027</v>
      </c>
      <c r="B613" t="s">
        <v>19</v>
      </c>
      <c r="C613" t="str">
        <f t="shared" si="27"/>
        <v>3798512613613</v>
      </c>
      <c r="D613" t="str">
        <f t="shared" si="28"/>
        <v>Client613</v>
      </c>
      <c r="E613" t="str">
        <f t="shared" si="29"/>
        <v>BOB613</v>
      </c>
      <c r="F613" t="s">
        <v>26</v>
      </c>
      <c r="G613" s="11" t="s">
        <v>21</v>
      </c>
      <c r="H613" s="11">
        <v>423633300</v>
      </c>
      <c r="I613" s="11">
        <v>9232500</v>
      </c>
      <c r="J613" s="11">
        <v>0</v>
      </c>
      <c r="K613" s="11">
        <v>0</v>
      </c>
      <c r="L613" s="11">
        <v>438268200</v>
      </c>
      <c r="M613" s="11">
        <v>23598300</v>
      </c>
      <c r="N613" s="11">
        <v>0</v>
      </c>
    </row>
    <row r="614" spans="1:14" x14ac:dyDescent="0.3">
      <c r="A614" s="10">
        <v>46027</v>
      </c>
      <c r="B614" t="s">
        <v>19</v>
      </c>
      <c r="C614" t="str">
        <f t="shared" si="27"/>
        <v>3798512613614</v>
      </c>
      <c r="D614" t="str">
        <f t="shared" si="28"/>
        <v>Client614</v>
      </c>
      <c r="E614" t="str">
        <f t="shared" si="29"/>
        <v>BOB614</v>
      </c>
      <c r="F614" t="s">
        <v>22</v>
      </c>
      <c r="G614" s="11" t="s">
        <v>23</v>
      </c>
      <c r="H614" s="11">
        <v>0</v>
      </c>
      <c r="I614" s="11">
        <v>0</v>
      </c>
      <c r="J614" s="11">
        <v>0</v>
      </c>
      <c r="K614" s="11">
        <v>2402400</v>
      </c>
      <c r="L614" s="11">
        <v>6677100</v>
      </c>
      <c r="M614" s="11">
        <v>9656600</v>
      </c>
      <c r="N614" s="11">
        <v>0</v>
      </c>
    </row>
    <row r="615" spans="1:14" x14ac:dyDescent="0.3">
      <c r="A615" s="10">
        <v>46027</v>
      </c>
      <c r="B615" t="s">
        <v>19</v>
      </c>
      <c r="C615" t="str">
        <f t="shared" si="27"/>
        <v>3798512613615</v>
      </c>
      <c r="D615" t="str">
        <f t="shared" si="28"/>
        <v>Client615</v>
      </c>
      <c r="E615" t="str">
        <f t="shared" si="29"/>
        <v>BOB615</v>
      </c>
      <c r="F615" t="s">
        <v>20</v>
      </c>
      <c r="G615" s="11" t="s">
        <v>21</v>
      </c>
      <c r="H615" s="11">
        <v>0</v>
      </c>
      <c r="I615" s="11">
        <v>300000</v>
      </c>
      <c r="J615" s="11">
        <v>300000</v>
      </c>
      <c r="K615" s="11">
        <v>1400000</v>
      </c>
      <c r="L615" s="11">
        <v>799500</v>
      </c>
      <c r="M615" s="11">
        <v>1443100</v>
      </c>
      <c r="N615" s="11">
        <v>0</v>
      </c>
    </row>
    <row r="616" spans="1:14" x14ac:dyDescent="0.3">
      <c r="A616" s="10">
        <v>46027</v>
      </c>
      <c r="B616" t="s">
        <v>19</v>
      </c>
      <c r="C616" t="str">
        <f t="shared" si="27"/>
        <v>3798512613616</v>
      </c>
      <c r="D616" t="str">
        <f t="shared" si="28"/>
        <v>Client616</v>
      </c>
      <c r="E616" t="str">
        <f t="shared" si="29"/>
        <v>BOB616</v>
      </c>
      <c r="F616" t="s">
        <v>42</v>
      </c>
      <c r="G616" s="11" t="s">
        <v>43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</row>
    <row r="617" spans="1:14" x14ac:dyDescent="0.3">
      <c r="A617" s="10">
        <v>46027</v>
      </c>
      <c r="B617" t="s">
        <v>19</v>
      </c>
      <c r="C617" t="str">
        <f t="shared" si="27"/>
        <v>3798512613617</v>
      </c>
      <c r="D617" t="str">
        <f t="shared" si="28"/>
        <v>Client617</v>
      </c>
      <c r="E617" t="str">
        <f t="shared" si="29"/>
        <v>BOB617</v>
      </c>
      <c r="F617" t="s">
        <v>25</v>
      </c>
      <c r="G617" s="11" t="s">
        <v>21</v>
      </c>
      <c r="H617" s="11">
        <v>0</v>
      </c>
      <c r="I617" s="11">
        <v>0</v>
      </c>
      <c r="J617" s="11">
        <v>300000</v>
      </c>
      <c r="K617" s="11">
        <v>3100000</v>
      </c>
      <c r="L617" s="11">
        <v>5913100</v>
      </c>
      <c r="M617" s="11">
        <v>8067700</v>
      </c>
      <c r="N617" s="11">
        <v>0</v>
      </c>
    </row>
    <row r="618" spans="1:14" x14ac:dyDescent="0.3">
      <c r="A618" s="10">
        <v>46027</v>
      </c>
      <c r="B618" t="s">
        <v>19</v>
      </c>
      <c r="C618" t="str">
        <f t="shared" si="27"/>
        <v>3798512613618</v>
      </c>
      <c r="D618" t="str">
        <f t="shared" si="28"/>
        <v>Client618</v>
      </c>
      <c r="E618" t="str">
        <f t="shared" si="29"/>
        <v>BOB618</v>
      </c>
      <c r="F618" t="s">
        <v>25</v>
      </c>
      <c r="G618" s="11" t="s">
        <v>21</v>
      </c>
      <c r="H618" s="11">
        <v>0</v>
      </c>
      <c r="I618" s="11">
        <v>0</v>
      </c>
      <c r="J618" s="11">
        <v>1500000</v>
      </c>
      <c r="K618" s="11">
        <v>0</v>
      </c>
      <c r="L618" s="11">
        <v>37252300</v>
      </c>
      <c r="M618" s="11">
        <v>35921400</v>
      </c>
      <c r="N618" s="11">
        <v>0</v>
      </c>
    </row>
    <row r="619" spans="1:14" x14ac:dyDescent="0.3">
      <c r="A619" s="10">
        <v>46027</v>
      </c>
      <c r="B619" t="s">
        <v>19</v>
      </c>
      <c r="C619" t="str">
        <f t="shared" si="27"/>
        <v>3798512613619</v>
      </c>
      <c r="D619" t="str">
        <f t="shared" si="28"/>
        <v>Client619</v>
      </c>
      <c r="E619" t="str">
        <f t="shared" si="29"/>
        <v>BOB619</v>
      </c>
      <c r="G619" s="11"/>
      <c r="H619" s="11">
        <v>0</v>
      </c>
      <c r="I619" s="11">
        <v>0</v>
      </c>
      <c r="J619" s="11">
        <v>0</v>
      </c>
      <c r="K619" s="11">
        <v>0</v>
      </c>
      <c r="L619" s="11">
        <v>3010400</v>
      </c>
      <c r="M619" s="11">
        <v>2123000</v>
      </c>
      <c r="N619" s="11">
        <v>0</v>
      </c>
    </row>
    <row r="620" spans="1:14" x14ac:dyDescent="0.3">
      <c r="A620" s="10">
        <v>46027</v>
      </c>
      <c r="B620" t="s">
        <v>19</v>
      </c>
      <c r="C620" t="str">
        <f t="shared" si="27"/>
        <v>3798512613620</v>
      </c>
      <c r="D620" t="str">
        <f t="shared" si="28"/>
        <v>Client620</v>
      </c>
      <c r="E620" t="str">
        <f t="shared" si="29"/>
        <v>BOB620</v>
      </c>
      <c r="F620" t="s">
        <v>25</v>
      </c>
      <c r="G620" s="11" t="s">
        <v>21</v>
      </c>
      <c r="H620" s="11">
        <v>0</v>
      </c>
      <c r="I620" s="11">
        <v>0</v>
      </c>
      <c r="J620" s="11">
        <v>650000</v>
      </c>
      <c r="K620" s="11">
        <v>4050000</v>
      </c>
      <c r="L620" s="11">
        <v>5909400</v>
      </c>
      <c r="M620" s="11">
        <v>9169200</v>
      </c>
      <c r="N620" s="11">
        <v>0</v>
      </c>
    </row>
    <row r="621" spans="1:14" x14ac:dyDescent="0.3">
      <c r="A621" s="10">
        <v>46027</v>
      </c>
      <c r="B621" t="s">
        <v>19</v>
      </c>
      <c r="C621" t="str">
        <f t="shared" si="27"/>
        <v>3798512613621</v>
      </c>
      <c r="D621" t="str">
        <f t="shared" si="28"/>
        <v>Client621</v>
      </c>
      <c r="E621" t="str">
        <f t="shared" si="29"/>
        <v>BOB621</v>
      </c>
      <c r="F621" t="s">
        <v>25</v>
      </c>
      <c r="G621" s="11" t="s">
        <v>21</v>
      </c>
      <c r="H621" s="11">
        <v>0</v>
      </c>
      <c r="I621" s="11">
        <v>0</v>
      </c>
      <c r="J621" s="11">
        <v>6110000</v>
      </c>
      <c r="K621" s="11">
        <v>18196000</v>
      </c>
      <c r="L621" s="11">
        <v>17461500</v>
      </c>
      <c r="M621" s="11">
        <v>29522900</v>
      </c>
      <c r="N621" s="11">
        <v>0</v>
      </c>
    </row>
    <row r="622" spans="1:14" x14ac:dyDescent="0.3">
      <c r="A622" s="10">
        <v>46027</v>
      </c>
      <c r="B622" t="s">
        <v>19</v>
      </c>
      <c r="C622" t="str">
        <f t="shared" si="27"/>
        <v>3798512613622</v>
      </c>
      <c r="D622" t="str">
        <f t="shared" si="28"/>
        <v>Client622</v>
      </c>
      <c r="E622" t="str">
        <f t="shared" si="29"/>
        <v>BOB622</v>
      </c>
      <c r="F622" t="s">
        <v>24</v>
      </c>
      <c r="G622" s="11" t="s">
        <v>21</v>
      </c>
      <c r="H622" s="11">
        <v>0</v>
      </c>
      <c r="I622" s="11">
        <v>0</v>
      </c>
      <c r="J622" s="11">
        <v>0</v>
      </c>
      <c r="K622" s="11">
        <v>0</v>
      </c>
      <c r="L622" s="11">
        <v>5123700</v>
      </c>
      <c r="M622" s="11">
        <v>6662500</v>
      </c>
      <c r="N622" s="11">
        <v>0</v>
      </c>
    </row>
    <row r="623" spans="1:14" x14ac:dyDescent="0.3">
      <c r="A623" s="10">
        <v>46027</v>
      </c>
      <c r="B623" t="s">
        <v>19</v>
      </c>
      <c r="C623" t="str">
        <f t="shared" si="27"/>
        <v>3798512613623</v>
      </c>
      <c r="D623" t="str">
        <f t="shared" si="28"/>
        <v>Client623</v>
      </c>
      <c r="E623" t="str">
        <f t="shared" si="29"/>
        <v>BOB623</v>
      </c>
      <c r="F623" t="s">
        <v>42</v>
      </c>
      <c r="G623" s="11" t="s">
        <v>72</v>
      </c>
      <c r="H623" s="11">
        <v>0</v>
      </c>
      <c r="I623" s="11">
        <v>0</v>
      </c>
      <c r="J623" s="11">
        <v>0</v>
      </c>
      <c r="K623" s="11">
        <v>7825000</v>
      </c>
      <c r="L623" s="11">
        <v>2910000</v>
      </c>
      <c r="M623" s="11">
        <v>18827800</v>
      </c>
      <c r="N623" s="11">
        <v>0</v>
      </c>
    </row>
    <row r="624" spans="1:14" x14ac:dyDescent="0.3">
      <c r="A624" s="10">
        <v>46027</v>
      </c>
      <c r="B624" t="s">
        <v>19</v>
      </c>
      <c r="C624" t="str">
        <f t="shared" si="27"/>
        <v>3798512613624</v>
      </c>
      <c r="D624" t="str">
        <f t="shared" si="28"/>
        <v>Client624</v>
      </c>
      <c r="E624" t="str">
        <f t="shared" si="29"/>
        <v>BOB624</v>
      </c>
      <c r="F624" t="s">
        <v>20</v>
      </c>
      <c r="G624" s="11" t="s">
        <v>21</v>
      </c>
      <c r="H624" s="11">
        <v>0</v>
      </c>
      <c r="I624" s="11">
        <v>0</v>
      </c>
      <c r="J624" s="11">
        <v>600000</v>
      </c>
      <c r="K624" s="11">
        <v>800000</v>
      </c>
      <c r="L624" s="11">
        <v>9325500</v>
      </c>
      <c r="M624" s="11">
        <v>10477700</v>
      </c>
      <c r="N624" s="11">
        <v>0</v>
      </c>
    </row>
    <row r="625" spans="1:14" x14ac:dyDescent="0.3">
      <c r="A625" s="10">
        <v>46027</v>
      </c>
      <c r="B625" t="s">
        <v>19</v>
      </c>
      <c r="C625" t="str">
        <f t="shared" si="27"/>
        <v>3798512613625</v>
      </c>
      <c r="D625" t="str">
        <f t="shared" si="28"/>
        <v>Client625</v>
      </c>
      <c r="E625" t="str">
        <f t="shared" si="29"/>
        <v>BOB625</v>
      </c>
      <c r="F625" t="s">
        <v>25</v>
      </c>
      <c r="G625" s="11" t="s">
        <v>21</v>
      </c>
      <c r="H625" s="11">
        <v>0</v>
      </c>
      <c r="I625" s="11">
        <v>0</v>
      </c>
      <c r="J625" s="11">
        <v>0</v>
      </c>
      <c r="K625" s="11">
        <v>0</v>
      </c>
      <c r="L625" s="11">
        <v>2792300</v>
      </c>
      <c r="M625" s="11">
        <v>2924100</v>
      </c>
      <c r="N625" s="11">
        <v>0</v>
      </c>
    </row>
    <row r="626" spans="1:14" x14ac:dyDescent="0.3">
      <c r="A626" s="10">
        <v>46027</v>
      </c>
      <c r="B626" t="s">
        <v>19</v>
      </c>
      <c r="C626" t="str">
        <f t="shared" si="27"/>
        <v>3798512613626</v>
      </c>
      <c r="D626" t="str">
        <f t="shared" si="28"/>
        <v>Client626</v>
      </c>
      <c r="E626" t="str">
        <f t="shared" si="29"/>
        <v>BOB626</v>
      </c>
      <c r="F626" t="s">
        <v>20</v>
      </c>
      <c r="G626" s="11" t="s">
        <v>21</v>
      </c>
      <c r="H626" s="11">
        <v>0</v>
      </c>
      <c r="I626" s="11">
        <v>0</v>
      </c>
      <c r="J626" s="11">
        <v>0</v>
      </c>
      <c r="K626" s="11">
        <v>0</v>
      </c>
      <c r="L626" s="11">
        <v>14312400</v>
      </c>
      <c r="M626" s="11">
        <v>14393800</v>
      </c>
      <c r="N626" s="11">
        <v>0</v>
      </c>
    </row>
    <row r="627" spans="1:14" x14ac:dyDescent="0.3">
      <c r="A627" s="10">
        <v>46027</v>
      </c>
      <c r="B627" t="s">
        <v>19</v>
      </c>
      <c r="C627" t="str">
        <f t="shared" si="27"/>
        <v>3798512613627</v>
      </c>
      <c r="D627" t="str">
        <f t="shared" si="28"/>
        <v>Client627</v>
      </c>
      <c r="E627" t="str">
        <f t="shared" si="29"/>
        <v>BOB627</v>
      </c>
      <c r="F627" t="s">
        <v>26</v>
      </c>
      <c r="G627" s="11" t="s">
        <v>53</v>
      </c>
      <c r="H627" s="11">
        <v>0</v>
      </c>
      <c r="I627" s="11">
        <v>0</v>
      </c>
      <c r="J627" s="11">
        <v>0</v>
      </c>
      <c r="K627" s="11">
        <v>0</v>
      </c>
      <c r="L627" s="11">
        <v>3415500</v>
      </c>
      <c r="M627" s="11">
        <v>3977700</v>
      </c>
      <c r="N627" s="11">
        <v>0</v>
      </c>
    </row>
    <row r="628" spans="1:14" x14ac:dyDescent="0.3">
      <c r="A628" s="10">
        <v>46027</v>
      </c>
      <c r="B628" t="s">
        <v>19</v>
      </c>
      <c r="C628" t="str">
        <f t="shared" si="27"/>
        <v>3798512613628</v>
      </c>
      <c r="D628" t="str">
        <f t="shared" si="28"/>
        <v>Client628</v>
      </c>
      <c r="E628" t="str">
        <f t="shared" si="29"/>
        <v>BOB628</v>
      </c>
      <c r="F628" t="s">
        <v>22</v>
      </c>
      <c r="G628" s="11" t="s">
        <v>23</v>
      </c>
      <c r="H628" s="11">
        <v>0</v>
      </c>
      <c r="I628" s="11">
        <v>0</v>
      </c>
      <c r="J628" s="11">
        <v>0</v>
      </c>
      <c r="K628" s="11">
        <v>9309300</v>
      </c>
      <c r="L628" s="11">
        <v>16990100</v>
      </c>
      <c r="M628" s="11">
        <v>25695400</v>
      </c>
      <c r="N628" s="11">
        <v>0</v>
      </c>
    </row>
    <row r="629" spans="1:14" x14ac:dyDescent="0.3">
      <c r="A629" s="10">
        <v>46027</v>
      </c>
      <c r="B629" t="s">
        <v>19</v>
      </c>
      <c r="C629" t="str">
        <f t="shared" si="27"/>
        <v>3798512613629</v>
      </c>
      <c r="D629" t="str">
        <f t="shared" si="28"/>
        <v>Client629</v>
      </c>
      <c r="E629" t="str">
        <f t="shared" si="29"/>
        <v>BOB629</v>
      </c>
      <c r="F629" t="s">
        <v>26</v>
      </c>
      <c r="G629" s="11" t="s">
        <v>53</v>
      </c>
      <c r="H629" s="11">
        <v>0</v>
      </c>
      <c r="I629" s="11">
        <v>0</v>
      </c>
      <c r="J629" s="11">
        <v>0</v>
      </c>
      <c r="K629" s="11">
        <v>0</v>
      </c>
      <c r="L629" s="11">
        <v>677200</v>
      </c>
      <c r="M629" s="11">
        <v>545700</v>
      </c>
      <c r="N629" s="11">
        <v>0</v>
      </c>
    </row>
    <row r="630" spans="1:14" x14ac:dyDescent="0.3">
      <c r="A630" s="10">
        <v>46027</v>
      </c>
      <c r="B630" t="s">
        <v>19</v>
      </c>
      <c r="C630" t="str">
        <f t="shared" si="27"/>
        <v>3798512613630</v>
      </c>
      <c r="D630" t="str">
        <f t="shared" si="28"/>
        <v>Client630</v>
      </c>
      <c r="E630" t="str">
        <f t="shared" si="29"/>
        <v>BOB630</v>
      </c>
      <c r="F630" t="s">
        <v>20</v>
      </c>
      <c r="G630" s="11" t="s">
        <v>21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3">
      <c r="A631" s="10">
        <v>46027</v>
      </c>
      <c r="B631" t="s">
        <v>19</v>
      </c>
      <c r="C631" t="str">
        <f t="shared" si="27"/>
        <v>3798512613631</v>
      </c>
      <c r="D631" t="str">
        <f t="shared" si="28"/>
        <v>Client631</v>
      </c>
      <c r="E631" t="str">
        <f t="shared" si="29"/>
        <v>BOB631</v>
      </c>
      <c r="F631" t="s">
        <v>22</v>
      </c>
      <c r="G631" s="11" t="s">
        <v>23</v>
      </c>
      <c r="H631" s="11">
        <v>0</v>
      </c>
      <c r="I631" s="11">
        <v>0</v>
      </c>
      <c r="J631" s="11">
        <v>0</v>
      </c>
      <c r="K631" s="11">
        <v>16516500</v>
      </c>
      <c r="L631" s="11">
        <v>25583400</v>
      </c>
      <c r="M631" s="11">
        <v>39567300</v>
      </c>
      <c r="N631" s="11">
        <v>0</v>
      </c>
    </row>
    <row r="632" spans="1:14" x14ac:dyDescent="0.3">
      <c r="A632" s="10">
        <v>46027</v>
      </c>
      <c r="B632" t="s">
        <v>19</v>
      </c>
      <c r="C632" t="str">
        <f t="shared" si="27"/>
        <v>3798512613632</v>
      </c>
      <c r="D632" t="str">
        <f t="shared" si="28"/>
        <v>Client632</v>
      </c>
      <c r="E632" t="str">
        <f t="shared" si="29"/>
        <v>BOB632</v>
      </c>
      <c r="G632" s="11"/>
      <c r="H632" s="11">
        <v>0</v>
      </c>
      <c r="I632" s="11">
        <v>0</v>
      </c>
      <c r="J632" s="11">
        <v>10900000</v>
      </c>
      <c r="K632" s="11">
        <v>11900000</v>
      </c>
      <c r="L632" s="11">
        <v>697000</v>
      </c>
      <c r="M632" s="11">
        <v>0</v>
      </c>
      <c r="N632" s="11">
        <v>0</v>
      </c>
    </row>
    <row r="633" spans="1:14" x14ac:dyDescent="0.3">
      <c r="A633" s="10">
        <v>46027</v>
      </c>
      <c r="B633" t="s">
        <v>19</v>
      </c>
      <c r="C633" t="str">
        <f t="shared" si="27"/>
        <v>3798512613633</v>
      </c>
      <c r="D633" t="str">
        <f t="shared" si="28"/>
        <v>Client633</v>
      </c>
      <c r="E633" t="str">
        <f t="shared" si="29"/>
        <v>BOB633</v>
      </c>
      <c r="F633" t="s">
        <v>20</v>
      </c>
      <c r="G633" s="11" t="s">
        <v>21</v>
      </c>
      <c r="H633" s="11">
        <v>0</v>
      </c>
      <c r="I633" s="11">
        <v>0</v>
      </c>
      <c r="J633" s="11">
        <v>36000000</v>
      </c>
      <c r="K633" s="11">
        <v>0</v>
      </c>
      <c r="L633" s="11">
        <v>91694300</v>
      </c>
      <c r="M633" s="11">
        <v>53770000</v>
      </c>
      <c r="N633" s="11">
        <v>0</v>
      </c>
    </row>
    <row r="634" spans="1:14" x14ac:dyDescent="0.3">
      <c r="A634" s="10">
        <v>46027</v>
      </c>
      <c r="B634" t="s">
        <v>19</v>
      </c>
      <c r="C634" t="str">
        <f t="shared" si="27"/>
        <v>3798512613634</v>
      </c>
      <c r="D634" t="str">
        <f t="shared" si="28"/>
        <v>Client634</v>
      </c>
      <c r="E634" t="str">
        <f t="shared" si="29"/>
        <v>BOB634</v>
      </c>
      <c r="F634" t="s">
        <v>24</v>
      </c>
      <c r="G634" s="11" t="s">
        <v>21</v>
      </c>
      <c r="H634" s="11">
        <v>0</v>
      </c>
      <c r="I634" s="11">
        <v>0</v>
      </c>
      <c r="J634" s="11">
        <v>13215000</v>
      </c>
      <c r="K634" s="11">
        <v>14115000</v>
      </c>
      <c r="L634" s="11">
        <v>43241100</v>
      </c>
      <c r="M634" s="11">
        <v>46858400</v>
      </c>
      <c r="N634" s="11">
        <v>0</v>
      </c>
    </row>
    <row r="635" spans="1:14" x14ac:dyDescent="0.3">
      <c r="A635" s="10">
        <v>46027</v>
      </c>
      <c r="B635" t="s">
        <v>19</v>
      </c>
      <c r="C635" t="str">
        <f t="shared" si="27"/>
        <v>3798512613635</v>
      </c>
      <c r="D635" t="str">
        <f t="shared" si="28"/>
        <v>Client635</v>
      </c>
      <c r="E635" t="str">
        <f t="shared" si="29"/>
        <v>BOB635</v>
      </c>
      <c r="F635" t="s">
        <v>24</v>
      </c>
      <c r="G635" s="11" t="s">
        <v>21</v>
      </c>
      <c r="H635" s="11">
        <v>0</v>
      </c>
      <c r="I635" s="11">
        <v>0</v>
      </c>
      <c r="J635" s="11">
        <v>0</v>
      </c>
      <c r="K635" s="11">
        <v>0</v>
      </c>
      <c r="L635" s="11">
        <v>174800</v>
      </c>
      <c r="M635" s="11">
        <v>127000</v>
      </c>
      <c r="N635" s="11">
        <v>0</v>
      </c>
    </row>
    <row r="636" spans="1:14" x14ac:dyDescent="0.3">
      <c r="A636" s="10">
        <v>46027</v>
      </c>
      <c r="B636" t="s">
        <v>19</v>
      </c>
      <c r="C636" t="str">
        <f t="shared" si="27"/>
        <v>3798512613636</v>
      </c>
      <c r="D636" t="str">
        <f t="shared" si="28"/>
        <v>Client636</v>
      </c>
      <c r="E636" t="str">
        <f t="shared" si="29"/>
        <v>BOB636</v>
      </c>
      <c r="F636" t="s">
        <v>20</v>
      </c>
      <c r="G636" s="11" t="s">
        <v>21</v>
      </c>
      <c r="H636" s="11">
        <v>0</v>
      </c>
      <c r="I636" s="11">
        <v>0</v>
      </c>
      <c r="J636" s="11">
        <v>43950000</v>
      </c>
      <c r="K636" s="11">
        <v>43800000</v>
      </c>
      <c r="L636" s="11">
        <v>10107700</v>
      </c>
      <c r="M636" s="11">
        <v>9856400</v>
      </c>
      <c r="N636" s="11">
        <v>0</v>
      </c>
    </row>
    <row r="637" spans="1:14" x14ac:dyDescent="0.3">
      <c r="A637" s="10">
        <v>46027</v>
      </c>
      <c r="B637" t="s">
        <v>19</v>
      </c>
      <c r="C637" t="str">
        <f t="shared" si="27"/>
        <v>3798512613637</v>
      </c>
      <c r="D637" t="str">
        <f t="shared" si="28"/>
        <v>Client637</v>
      </c>
      <c r="E637" t="str">
        <f t="shared" si="29"/>
        <v>BOB637</v>
      </c>
      <c r="G637" s="11"/>
      <c r="H637" s="11">
        <v>0</v>
      </c>
      <c r="I637" s="11">
        <v>0</v>
      </c>
      <c r="J637" s="11">
        <v>0</v>
      </c>
      <c r="K637" s="11">
        <v>0</v>
      </c>
      <c r="L637" s="11">
        <v>420700</v>
      </c>
      <c r="M637" s="11">
        <v>466500</v>
      </c>
      <c r="N637" s="11">
        <v>0</v>
      </c>
    </row>
    <row r="638" spans="1:14" x14ac:dyDescent="0.3">
      <c r="A638" s="10">
        <v>46027</v>
      </c>
      <c r="B638" t="s">
        <v>19</v>
      </c>
      <c r="C638" t="str">
        <f t="shared" si="27"/>
        <v>3798512613638</v>
      </c>
      <c r="D638" t="str">
        <f t="shared" si="28"/>
        <v>Client638</v>
      </c>
      <c r="E638" t="str">
        <f t="shared" si="29"/>
        <v>BOB638</v>
      </c>
      <c r="F638" t="s">
        <v>25</v>
      </c>
      <c r="G638" s="11" t="s">
        <v>21</v>
      </c>
      <c r="H638" s="11">
        <v>0</v>
      </c>
      <c r="I638" s="11">
        <v>0</v>
      </c>
      <c r="J638" s="11">
        <v>0</v>
      </c>
      <c r="K638" s="11">
        <v>0</v>
      </c>
      <c r="L638" s="11">
        <v>19955300</v>
      </c>
      <c r="M638" s="11">
        <v>24826400</v>
      </c>
      <c r="N638" s="11">
        <v>0</v>
      </c>
    </row>
    <row r="639" spans="1:14" x14ac:dyDescent="0.3">
      <c r="A639" s="10">
        <v>46027</v>
      </c>
      <c r="B639" t="s">
        <v>19</v>
      </c>
      <c r="C639" t="str">
        <f t="shared" si="27"/>
        <v>3798512613639</v>
      </c>
      <c r="D639" t="str">
        <f t="shared" si="28"/>
        <v>Client639</v>
      </c>
      <c r="E639" t="str">
        <f t="shared" si="29"/>
        <v>BOB639</v>
      </c>
      <c r="G639" s="11"/>
      <c r="H639" s="11">
        <v>0</v>
      </c>
      <c r="I639" s="11">
        <v>0</v>
      </c>
      <c r="J639" s="11">
        <v>0</v>
      </c>
      <c r="K639" s="11">
        <v>0</v>
      </c>
      <c r="L639" s="11">
        <v>461600</v>
      </c>
      <c r="M639" s="11">
        <v>20000</v>
      </c>
      <c r="N639" s="11">
        <v>510000</v>
      </c>
    </row>
    <row r="640" spans="1:14" x14ac:dyDescent="0.3">
      <c r="A640" s="10">
        <v>46027</v>
      </c>
      <c r="B640" t="s">
        <v>19</v>
      </c>
      <c r="C640" t="str">
        <f t="shared" si="27"/>
        <v>3798512613640</v>
      </c>
      <c r="D640" t="str">
        <f t="shared" si="28"/>
        <v>Client640</v>
      </c>
      <c r="E640" t="str">
        <f t="shared" si="29"/>
        <v>BOB640</v>
      </c>
      <c r="F640" t="s">
        <v>24</v>
      </c>
      <c r="G640" s="11" t="s">
        <v>21</v>
      </c>
      <c r="H640" s="11">
        <v>0</v>
      </c>
      <c r="I640" s="11">
        <v>0</v>
      </c>
      <c r="J640" s="11">
        <v>0</v>
      </c>
      <c r="K640" s="11">
        <v>3400000</v>
      </c>
      <c r="L640" s="11">
        <v>2440100</v>
      </c>
      <c r="M640" s="11">
        <v>6723300</v>
      </c>
      <c r="N640" s="11">
        <v>0</v>
      </c>
    </row>
    <row r="641" spans="1:14" x14ac:dyDescent="0.3">
      <c r="A641" s="10">
        <v>46027</v>
      </c>
      <c r="B641" t="s">
        <v>19</v>
      </c>
      <c r="C641" t="str">
        <f t="shared" si="27"/>
        <v>3798512613641</v>
      </c>
      <c r="D641" t="str">
        <f t="shared" si="28"/>
        <v>Client641</v>
      </c>
      <c r="E641" t="str">
        <f t="shared" si="29"/>
        <v>BOB641</v>
      </c>
      <c r="F641" t="s">
        <v>26</v>
      </c>
      <c r="G641" s="11" t="s">
        <v>65</v>
      </c>
      <c r="H641" s="11">
        <v>0</v>
      </c>
      <c r="I641" s="11">
        <v>0</v>
      </c>
      <c r="J641" s="11">
        <v>0</v>
      </c>
      <c r="K641" s="11">
        <v>1108000</v>
      </c>
      <c r="L641" s="11">
        <v>723700</v>
      </c>
      <c r="M641" s="11">
        <v>1767400</v>
      </c>
      <c r="N641" s="11">
        <v>0</v>
      </c>
    </row>
    <row r="642" spans="1:14" x14ac:dyDescent="0.3">
      <c r="A642" s="10">
        <v>46027</v>
      </c>
      <c r="B642" t="s">
        <v>19</v>
      </c>
      <c r="C642" t="str">
        <f t="shared" si="27"/>
        <v>3798512613642</v>
      </c>
      <c r="D642" t="str">
        <f t="shared" si="28"/>
        <v>Client642</v>
      </c>
      <c r="E642" t="str">
        <f t="shared" si="29"/>
        <v>BOB642</v>
      </c>
      <c r="G642" s="11"/>
      <c r="H642" s="11">
        <v>0</v>
      </c>
      <c r="I642" s="11">
        <v>0</v>
      </c>
      <c r="J642" s="11">
        <v>0</v>
      </c>
      <c r="K642" s="11">
        <v>0</v>
      </c>
      <c r="L642" s="11">
        <v>4386100</v>
      </c>
      <c r="M642" s="11">
        <v>5037300</v>
      </c>
      <c r="N642" s="11">
        <v>0</v>
      </c>
    </row>
    <row r="643" spans="1:14" x14ac:dyDescent="0.3">
      <c r="A643" s="10">
        <v>46027</v>
      </c>
      <c r="B643" t="s">
        <v>19</v>
      </c>
      <c r="C643" t="str">
        <f t="shared" ref="C643:C706" si="30" xml:space="preserve"> "3798512613" &amp; ROW()</f>
        <v>3798512613643</v>
      </c>
      <c r="D643" t="str">
        <f t="shared" ref="D643:D706" si="31">"Client"&amp;ROW()</f>
        <v>Client643</v>
      </c>
      <c r="E643" t="str">
        <f t="shared" ref="E643:E706" si="32">"BOB"&amp;ROW()</f>
        <v>BOB643</v>
      </c>
      <c r="F643" t="s">
        <v>22</v>
      </c>
      <c r="G643" s="11" t="s">
        <v>73</v>
      </c>
      <c r="H643" s="11">
        <v>0</v>
      </c>
      <c r="I643" s="11">
        <v>400000</v>
      </c>
      <c r="J643" s="11">
        <v>800000</v>
      </c>
      <c r="K643" s="11">
        <v>1900000</v>
      </c>
      <c r="L643" s="11">
        <v>6010900</v>
      </c>
      <c r="M643" s="11">
        <v>6802100</v>
      </c>
      <c r="N643" s="11">
        <v>0</v>
      </c>
    </row>
    <row r="644" spans="1:14" x14ac:dyDescent="0.3">
      <c r="A644" s="10">
        <v>46027</v>
      </c>
      <c r="B644" t="s">
        <v>19</v>
      </c>
      <c r="C644" t="str">
        <f t="shared" si="30"/>
        <v>3798512613644</v>
      </c>
      <c r="D644" t="str">
        <f t="shared" si="31"/>
        <v>Client644</v>
      </c>
      <c r="E644" t="str">
        <f t="shared" si="32"/>
        <v>BOB644</v>
      </c>
      <c r="G644" s="11"/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</row>
    <row r="645" spans="1:14" x14ac:dyDescent="0.3">
      <c r="A645" s="10">
        <v>46027</v>
      </c>
      <c r="B645" t="s">
        <v>19</v>
      </c>
      <c r="C645" t="str">
        <f t="shared" si="30"/>
        <v>3798512613645</v>
      </c>
      <c r="D645" t="str">
        <f t="shared" si="31"/>
        <v>Client645</v>
      </c>
      <c r="E645" t="str">
        <f t="shared" si="32"/>
        <v>BOB645</v>
      </c>
      <c r="G645" s="11"/>
      <c r="H645" s="11">
        <v>0</v>
      </c>
      <c r="I645" s="11">
        <v>0</v>
      </c>
      <c r="J645" s="11">
        <v>0</v>
      </c>
      <c r="K645" s="11">
        <v>0</v>
      </c>
      <c r="L645" s="11">
        <v>1041800</v>
      </c>
      <c r="M645" s="11">
        <v>787900</v>
      </c>
      <c r="N645" s="11">
        <v>0</v>
      </c>
    </row>
    <row r="646" spans="1:14" x14ac:dyDescent="0.3">
      <c r="A646" s="10">
        <v>46027</v>
      </c>
      <c r="B646" t="s">
        <v>19</v>
      </c>
      <c r="C646" t="str">
        <f t="shared" si="30"/>
        <v>3798512613646</v>
      </c>
      <c r="D646" t="str">
        <f t="shared" si="31"/>
        <v>Client646</v>
      </c>
      <c r="E646" t="str">
        <f t="shared" si="32"/>
        <v>BOB646</v>
      </c>
      <c r="F646" t="s">
        <v>22</v>
      </c>
      <c r="G646" s="11" t="s">
        <v>23</v>
      </c>
      <c r="H646" s="11">
        <v>0</v>
      </c>
      <c r="I646" s="11">
        <v>0</v>
      </c>
      <c r="J646" s="11">
        <v>1998000</v>
      </c>
      <c r="K646" s="11">
        <v>2002000</v>
      </c>
      <c r="L646" s="11">
        <v>26730200</v>
      </c>
      <c r="M646" s="11">
        <v>26198900</v>
      </c>
      <c r="N646" s="11">
        <v>0</v>
      </c>
    </row>
    <row r="647" spans="1:14" x14ac:dyDescent="0.3">
      <c r="A647" s="10">
        <v>46027</v>
      </c>
      <c r="B647" t="s">
        <v>19</v>
      </c>
      <c r="C647" t="str">
        <f t="shared" si="30"/>
        <v>3798512613647</v>
      </c>
      <c r="D647" t="str">
        <f t="shared" si="31"/>
        <v>Client647</v>
      </c>
      <c r="E647" t="str">
        <f t="shared" si="32"/>
        <v>BOB647</v>
      </c>
      <c r="G647" s="11"/>
      <c r="H647" s="11">
        <v>0</v>
      </c>
      <c r="I647" s="11">
        <v>0</v>
      </c>
      <c r="J647" s="11">
        <v>0</v>
      </c>
      <c r="K647" s="11">
        <v>0</v>
      </c>
      <c r="L647" s="11">
        <v>881200</v>
      </c>
      <c r="M647" s="11">
        <v>698800</v>
      </c>
      <c r="N647" s="11">
        <v>0</v>
      </c>
    </row>
    <row r="648" spans="1:14" x14ac:dyDescent="0.3">
      <c r="A648" s="10">
        <v>46027</v>
      </c>
      <c r="B648" t="s">
        <v>19</v>
      </c>
      <c r="C648" t="str">
        <f t="shared" si="30"/>
        <v>3798512613648</v>
      </c>
      <c r="D648" t="str">
        <f t="shared" si="31"/>
        <v>Client648</v>
      </c>
      <c r="E648" t="str">
        <f t="shared" si="32"/>
        <v>BOB648</v>
      </c>
      <c r="G648" s="11"/>
      <c r="H648" s="11">
        <v>0</v>
      </c>
      <c r="I648" s="11">
        <v>0</v>
      </c>
      <c r="J648" s="11">
        <v>0</v>
      </c>
      <c r="K648" s="11">
        <v>7007000</v>
      </c>
      <c r="L648" s="11">
        <v>4478300</v>
      </c>
      <c r="M648" s="11">
        <v>11936100</v>
      </c>
      <c r="N648" s="11">
        <v>0</v>
      </c>
    </row>
    <row r="649" spans="1:14" x14ac:dyDescent="0.3">
      <c r="A649" s="10">
        <v>46027</v>
      </c>
      <c r="B649" t="s">
        <v>19</v>
      </c>
      <c r="C649" t="str">
        <f t="shared" si="30"/>
        <v>3798512613649</v>
      </c>
      <c r="D649" t="str">
        <f t="shared" si="31"/>
        <v>Client649</v>
      </c>
      <c r="E649" t="str">
        <f t="shared" si="32"/>
        <v>BOB649</v>
      </c>
      <c r="F649" t="s">
        <v>24</v>
      </c>
      <c r="G649" s="11" t="s">
        <v>21</v>
      </c>
      <c r="H649" s="11">
        <v>0</v>
      </c>
      <c r="I649" s="11">
        <v>0</v>
      </c>
      <c r="J649" s="11">
        <v>0</v>
      </c>
      <c r="K649" s="11">
        <v>0</v>
      </c>
      <c r="L649" s="11">
        <v>6302300</v>
      </c>
      <c r="M649" s="11">
        <v>6433400</v>
      </c>
      <c r="N649" s="11">
        <v>0</v>
      </c>
    </row>
    <row r="650" spans="1:14" x14ac:dyDescent="0.3">
      <c r="A650" s="10">
        <v>46027</v>
      </c>
      <c r="B650" t="s">
        <v>19</v>
      </c>
      <c r="C650" t="str">
        <f t="shared" si="30"/>
        <v>3798512613650</v>
      </c>
      <c r="D650" t="str">
        <f t="shared" si="31"/>
        <v>Client650</v>
      </c>
      <c r="E650" t="str">
        <f t="shared" si="32"/>
        <v>BOB650</v>
      </c>
      <c r="F650" t="s">
        <v>22</v>
      </c>
      <c r="G650" s="11" t="s">
        <v>23</v>
      </c>
      <c r="H650" s="11">
        <v>0</v>
      </c>
      <c r="I650" s="11">
        <v>0</v>
      </c>
      <c r="J650" s="11">
        <v>699300</v>
      </c>
      <c r="K650" s="11">
        <v>800000</v>
      </c>
      <c r="L650" s="11">
        <v>699000</v>
      </c>
      <c r="M650" s="11">
        <v>800000</v>
      </c>
      <c r="N650" s="11">
        <v>0</v>
      </c>
    </row>
    <row r="651" spans="1:14" x14ac:dyDescent="0.3">
      <c r="A651" s="10">
        <v>46027</v>
      </c>
      <c r="B651" t="s">
        <v>19</v>
      </c>
      <c r="C651" t="str">
        <f t="shared" si="30"/>
        <v>3798512613651</v>
      </c>
      <c r="D651" t="str">
        <f t="shared" si="31"/>
        <v>Client651</v>
      </c>
      <c r="E651" t="str">
        <f t="shared" si="32"/>
        <v>BOB651</v>
      </c>
      <c r="G651" s="11"/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</row>
    <row r="652" spans="1:14" x14ac:dyDescent="0.3">
      <c r="A652" s="10">
        <v>46027</v>
      </c>
      <c r="B652" t="s">
        <v>19</v>
      </c>
      <c r="C652" t="str">
        <f t="shared" si="30"/>
        <v>3798512613652</v>
      </c>
      <c r="D652" t="str">
        <f t="shared" si="31"/>
        <v>Client652</v>
      </c>
      <c r="E652" t="str">
        <f t="shared" si="32"/>
        <v>BOB652</v>
      </c>
      <c r="F652" t="s">
        <v>24</v>
      </c>
      <c r="G652" s="11" t="s">
        <v>21</v>
      </c>
      <c r="H652" s="11">
        <v>0</v>
      </c>
      <c r="I652" s="11">
        <v>0</v>
      </c>
      <c r="J652" s="11">
        <v>0</v>
      </c>
      <c r="K652" s="11">
        <v>0</v>
      </c>
      <c r="L652" s="11">
        <v>2386400</v>
      </c>
      <c r="M652" s="11">
        <v>3134500</v>
      </c>
      <c r="N652" s="11">
        <v>0</v>
      </c>
    </row>
    <row r="653" spans="1:14" x14ac:dyDescent="0.3">
      <c r="A653" s="10">
        <v>46027</v>
      </c>
      <c r="B653" t="s">
        <v>19</v>
      </c>
      <c r="C653" t="str">
        <f t="shared" si="30"/>
        <v>3798512613653</v>
      </c>
      <c r="D653" t="str">
        <f t="shared" si="31"/>
        <v>Client653</v>
      </c>
      <c r="E653" t="str">
        <f t="shared" si="32"/>
        <v>BOB653</v>
      </c>
      <c r="G653" s="11"/>
      <c r="H653" s="11">
        <v>0</v>
      </c>
      <c r="I653" s="11">
        <v>0</v>
      </c>
      <c r="J653" s="11">
        <v>0</v>
      </c>
      <c r="K653" s="11">
        <v>2500000</v>
      </c>
      <c r="L653" s="11">
        <v>13361600</v>
      </c>
      <c r="M653" s="11">
        <v>14350100</v>
      </c>
      <c r="N653" s="11">
        <v>0</v>
      </c>
    </row>
    <row r="654" spans="1:14" x14ac:dyDescent="0.3">
      <c r="A654" s="10">
        <v>46027</v>
      </c>
      <c r="B654" t="s">
        <v>19</v>
      </c>
      <c r="C654" t="str">
        <f t="shared" si="30"/>
        <v>3798512613654</v>
      </c>
      <c r="D654" t="str">
        <f t="shared" si="31"/>
        <v>Client654</v>
      </c>
      <c r="E654" t="str">
        <f t="shared" si="32"/>
        <v>BOB654</v>
      </c>
      <c r="G654" s="11"/>
      <c r="H654" s="11">
        <v>0</v>
      </c>
      <c r="I654" s="11">
        <v>0</v>
      </c>
      <c r="J654" s="11">
        <v>0</v>
      </c>
      <c r="K654" s="11">
        <v>0</v>
      </c>
      <c r="L654" s="11">
        <v>3686400</v>
      </c>
      <c r="M654" s="11">
        <v>3291000</v>
      </c>
      <c r="N654" s="11">
        <v>0</v>
      </c>
    </row>
    <row r="655" spans="1:14" x14ac:dyDescent="0.3">
      <c r="A655" s="10">
        <v>46027</v>
      </c>
      <c r="B655" t="s">
        <v>19</v>
      </c>
      <c r="C655" t="str">
        <f t="shared" si="30"/>
        <v>3798512613655</v>
      </c>
      <c r="D655" t="str">
        <f t="shared" si="31"/>
        <v>Client655</v>
      </c>
      <c r="E655" t="str">
        <f t="shared" si="32"/>
        <v>BOB655</v>
      </c>
      <c r="F655" t="s">
        <v>20</v>
      </c>
      <c r="G655" s="11" t="s">
        <v>21</v>
      </c>
      <c r="H655" s="11">
        <v>0</v>
      </c>
      <c r="I655" s="11">
        <v>0</v>
      </c>
      <c r="J655" s="11">
        <v>0</v>
      </c>
      <c r="K655" s="11">
        <v>0</v>
      </c>
      <c r="L655" s="11">
        <v>6147200</v>
      </c>
      <c r="M655" s="11">
        <v>6150500</v>
      </c>
      <c r="N655" s="11">
        <v>0</v>
      </c>
    </row>
    <row r="656" spans="1:14" x14ac:dyDescent="0.3">
      <c r="A656" s="10">
        <v>46027</v>
      </c>
      <c r="B656" t="s">
        <v>19</v>
      </c>
      <c r="C656" t="str">
        <f t="shared" si="30"/>
        <v>3798512613656</v>
      </c>
      <c r="D656" t="str">
        <f t="shared" si="31"/>
        <v>Client656</v>
      </c>
      <c r="E656" t="str">
        <f t="shared" si="32"/>
        <v>BOB656</v>
      </c>
      <c r="F656" t="s">
        <v>20</v>
      </c>
      <c r="G656" s="11" t="s">
        <v>21</v>
      </c>
      <c r="H656" s="11">
        <v>0</v>
      </c>
      <c r="I656" s="11">
        <v>0</v>
      </c>
      <c r="J656" s="11">
        <v>1900000</v>
      </c>
      <c r="K656" s="11">
        <v>1700000</v>
      </c>
      <c r="L656" s="11">
        <v>14923000</v>
      </c>
      <c r="M656" s="11">
        <v>15438700</v>
      </c>
      <c r="N656" s="11">
        <v>0</v>
      </c>
    </row>
    <row r="657" spans="1:14" x14ac:dyDescent="0.3">
      <c r="A657" s="10">
        <v>46027</v>
      </c>
      <c r="B657" t="s">
        <v>19</v>
      </c>
      <c r="C657" t="str">
        <f t="shared" si="30"/>
        <v>3798512613657</v>
      </c>
      <c r="D657" t="str">
        <f t="shared" si="31"/>
        <v>Client657</v>
      </c>
      <c r="E657" t="str">
        <f t="shared" si="32"/>
        <v>BOB657</v>
      </c>
      <c r="F657" t="s">
        <v>25</v>
      </c>
      <c r="G657" s="11" t="s">
        <v>21</v>
      </c>
      <c r="H657" s="11">
        <v>0</v>
      </c>
      <c r="I657" s="11">
        <v>5007500</v>
      </c>
      <c r="J657" s="11">
        <v>0</v>
      </c>
      <c r="K657" s="11">
        <v>5000000</v>
      </c>
      <c r="L657" s="11">
        <v>24082500</v>
      </c>
      <c r="M657" s="11">
        <v>34667700</v>
      </c>
      <c r="N657" s="11">
        <v>0</v>
      </c>
    </row>
    <row r="658" spans="1:14" x14ac:dyDescent="0.3">
      <c r="A658" s="10">
        <v>46027</v>
      </c>
      <c r="B658" t="s">
        <v>19</v>
      </c>
      <c r="C658" t="str">
        <f t="shared" si="30"/>
        <v>3798512613658</v>
      </c>
      <c r="D658" t="str">
        <f t="shared" si="31"/>
        <v>Client658</v>
      </c>
      <c r="E658" t="str">
        <f t="shared" si="32"/>
        <v>BOB658</v>
      </c>
      <c r="F658" t="s">
        <v>20</v>
      </c>
      <c r="G658" s="11" t="s">
        <v>21</v>
      </c>
      <c r="H658" s="11">
        <v>0</v>
      </c>
      <c r="I658" s="11">
        <v>0</v>
      </c>
      <c r="J658" s="11">
        <v>0</v>
      </c>
      <c r="K658" s="11">
        <v>0</v>
      </c>
      <c r="L658" s="11">
        <v>4447900</v>
      </c>
      <c r="M658" s="11">
        <v>5186400</v>
      </c>
      <c r="N658" s="11">
        <v>0</v>
      </c>
    </row>
    <row r="659" spans="1:14" x14ac:dyDescent="0.3">
      <c r="A659" s="10">
        <v>46027</v>
      </c>
      <c r="B659" t="s">
        <v>19</v>
      </c>
      <c r="C659" t="str">
        <f t="shared" si="30"/>
        <v>3798512613659</v>
      </c>
      <c r="D659" t="str">
        <f t="shared" si="31"/>
        <v>Client659</v>
      </c>
      <c r="E659" t="str">
        <f t="shared" si="32"/>
        <v>BOB659</v>
      </c>
      <c r="F659" t="s">
        <v>26</v>
      </c>
      <c r="G659" s="11" t="s">
        <v>21</v>
      </c>
      <c r="H659" s="11">
        <v>0</v>
      </c>
      <c r="I659" s="11">
        <v>2000000</v>
      </c>
      <c r="J659" s="11">
        <v>168392500</v>
      </c>
      <c r="K659" s="11">
        <v>6920000</v>
      </c>
      <c r="L659" s="11">
        <v>178548500</v>
      </c>
      <c r="M659" s="11">
        <v>14657700</v>
      </c>
      <c r="N659" s="11">
        <v>0</v>
      </c>
    </row>
    <row r="660" spans="1:14" x14ac:dyDescent="0.3">
      <c r="A660" s="10">
        <v>46027</v>
      </c>
      <c r="B660" t="s">
        <v>19</v>
      </c>
      <c r="C660" t="str">
        <f t="shared" si="30"/>
        <v>3798512613660</v>
      </c>
      <c r="D660" t="str">
        <f t="shared" si="31"/>
        <v>Client660</v>
      </c>
      <c r="E660" t="str">
        <f t="shared" si="32"/>
        <v>BOB660</v>
      </c>
      <c r="F660" t="s">
        <v>20</v>
      </c>
      <c r="G660" s="11" t="s">
        <v>21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</row>
    <row r="661" spans="1:14" x14ac:dyDescent="0.3">
      <c r="A661" s="10">
        <v>46027</v>
      </c>
      <c r="B661" t="s">
        <v>19</v>
      </c>
      <c r="C661" t="str">
        <f t="shared" si="30"/>
        <v>3798512613661</v>
      </c>
      <c r="D661" t="str">
        <f t="shared" si="31"/>
        <v>Client661</v>
      </c>
      <c r="E661" t="str">
        <f t="shared" si="32"/>
        <v>BOB661</v>
      </c>
      <c r="F661" t="s">
        <v>24</v>
      </c>
      <c r="G661" s="11" t="s">
        <v>21</v>
      </c>
      <c r="H661" s="11">
        <v>0</v>
      </c>
      <c r="I661" s="11">
        <v>0</v>
      </c>
      <c r="J661" s="11">
        <v>0</v>
      </c>
      <c r="K661" s="11">
        <v>200000</v>
      </c>
      <c r="L661" s="11">
        <v>0</v>
      </c>
      <c r="M661" s="11">
        <v>0</v>
      </c>
      <c r="N661" s="11">
        <v>0</v>
      </c>
    </row>
    <row r="662" spans="1:14" x14ac:dyDescent="0.3">
      <c r="A662" s="10">
        <v>46027</v>
      </c>
      <c r="B662" t="s">
        <v>19</v>
      </c>
      <c r="C662" t="str">
        <f t="shared" si="30"/>
        <v>3798512613662</v>
      </c>
      <c r="D662" t="str">
        <f t="shared" si="31"/>
        <v>Client662</v>
      </c>
      <c r="E662" t="str">
        <f t="shared" si="32"/>
        <v>BOB662</v>
      </c>
      <c r="F662" t="s">
        <v>20</v>
      </c>
      <c r="G662" s="11" t="s">
        <v>21</v>
      </c>
      <c r="H662" s="11">
        <v>0</v>
      </c>
      <c r="I662" s="11">
        <v>0</v>
      </c>
      <c r="J662" s="11">
        <v>0</v>
      </c>
      <c r="K662" s="11">
        <v>0</v>
      </c>
      <c r="L662" s="11">
        <v>15538100</v>
      </c>
      <c r="M662" s="11">
        <v>16460300</v>
      </c>
      <c r="N662" s="11">
        <v>0</v>
      </c>
    </row>
    <row r="663" spans="1:14" x14ac:dyDescent="0.3">
      <c r="A663" s="10">
        <v>46027</v>
      </c>
      <c r="B663" t="s">
        <v>19</v>
      </c>
      <c r="C663" t="str">
        <f t="shared" si="30"/>
        <v>3798512613663</v>
      </c>
      <c r="D663" t="str">
        <f t="shared" si="31"/>
        <v>Client663</v>
      </c>
      <c r="E663" t="str">
        <f t="shared" si="32"/>
        <v>BOB663</v>
      </c>
      <c r="F663" t="s">
        <v>42</v>
      </c>
      <c r="G663" s="11" t="s">
        <v>72</v>
      </c>
      <c r="H663" s="11">
        <v>0</v>
      </c>
      <c r="I663" s="11">
        <v>0</v>
      </c>
      <c r="J663" s="11">
        <v>0</v>
      </c>
      <c r="K663" s="11">
        <v>4411000</v>
      </c>
      <c r="L663" s="11">
        <v>11349300</v>
      </c>
      <c r="M663" s="11">
        <v>14982100</v>
      </c>
      <c r="N663" s="11">
        <v>0</v>
      </c>
    </row>
    <row r="664" spans="1:14" x14ac:dyDescent="0.3">
      <c r="A664" s="10">
        <v>46027</v>
      </c>
      <c r="B664" t="s">
        <v>19</v>
      </c>
      <c r="C664" t="str">
        <f t="shared" si="30"/>
        <v>3798512613664</v>
      </c>
      <c r="D664" t="str">
        <f t="shared" si="31"/>
        <v>Client664</v>
      </c>
      <c r="E664" t="str">
        <f t="shared" si="32"/>
        <v>BOB664</v>
      </c>
      <c r="F664" t="s">
        <v>20</v>
      </c>
      <c r="G664" s="11" t="s">
        <v>21</v>
      </c>
      <c r="H664" s="11">
        <v>0</v>
      </c>
      <c r="I664" s="11">
        <v>0</v>
      </c>
      <c r="J664" s="11">
        <v>31500000</v>
      </c>
      <c r="K664" s="11">
        <v>0</v>
      </c>
      <c r="L664" s="11">
        <v>46012400</v>
      </c>
      <c r="M664" s="11">
        <v>12341000</v>
      </c>
      <c r="N664" s="11">
        <v>0</v>
      </c>
    </row>
    <row r="665" spans="1:14" x14ac:dyDescent="0.3">
      <c r="A665" s="10">
        <v>46027</v>
      </c>
      <c r="B665" t="s">
        <v>19</v>
      </c>
      <c r="C665" t="str">
        <f t="shared" si="30"/>
        <v>3798512613665</v>
      </c>
      <c r="D665" t="str">
        <f t="shared" si="31"/>
        <v>Client665</v>
      </c>
      <c r="E665" t="str">
        <f t="shared" si="32"/>
        <v>BOB665</v>
      </c>
      <c r="F665" t="s">
        <v>20</v>
      </c>
      <c r="G665" s="11" t="s">
        <v>21</v>
      </c>
      <c r="H665" s="11">
        <v>0</v>
      </c>
      <c r="I665" s="11">
        <v>0</v>
      </c>
      <c r="J665" s="11">
        <v>0</v>
      </c>
      <c r="K665" s="11">
        <v>0</v>
      </c>
      <c r="L665" s="11">
        <v>16767200</v>
      </c>
      <c r="M665" s="11">
        <v>18848200</v>
      </c>
      <c r="N665" s="11">
        <v>0</v>
      </c>
    </row>
    <row r="666" spans="1:14" x14ac:dyDescent="0.3">
      <c r="A666" s="10">
        <v>46027</v>
      </c>
      <c r="B666" t="s">
        <v>19</v>
      </c>
      <c r="C666" t="str">
        <f t="shared" si="30"/>
        <v>3798512613666</v>
      </c>
      <c r="D666" t="str">
        <f t="shared" si="31"/>
        <v>Client666</v>
      </c>
      <c r="E666" t="str">
        <f t="shared" si="32"/>
        <v>BOB666</v>
      </c>
      <c r="F666" t="s">
        <v>22</v>
      </c>
      <c r="G666" s="11" t="s">
        <v>23</v>
      </c>
      <c r="H666" s="11">
        <v>0</v>
      </c>
      <c r="I666" s="11">
        <v>0</v>
      </c>
      <c r="J666" s="11">
        <v>1798200</v>
      </c>
      <c r="K666" s="11">
        <v>0</v>
      </c>
      <c r="L666" s="11">
        <v>13488900</v>
      </c>
      <c r="M666" s="11">
        <v>15008600</v>
      </c>
      <c r="N666" s="11">
        <v>0</v>
      </c>
    </row>
    <row r="667" spans="1:14" x14ac:dyDescent="0.3">
      <c r="A667" s="10">
        <v>46027</v>
      </c>
      <c r="B667" t="s">
        <v>19</v>
      </c>
      <c r="C667" t="str">
        <f t="shared" si="30"/>
        <v>3798512613667</v>
      </c>
      <c r="D667" t="str">
        <f t="shared" si="31"/>
        <v>Client667</v>
      </c>
      <c r="E667" t="str">
        <f t="shared" si="32"/>
        <v>BOB667</v>
      </c>
      <c r="F667" t="s">
        <v>22</v>
      </c>
      <c r="G667" s="11" t="s">
        <v>23</v>
      </c>
      <c r="H667" s="11">
        <v>0</v>
      </c>
      <c r="I667" s="11">
        <v>0</v>
      </c>
      <c r="J667" s="11">
        <v>1602700</v>
      </c>
      <c r="K667" s="11">
        <v>0</v>
      </c>
      <c r="L667" s="11">
        <v>1693400</v>
      </c>
      <c r="M667" s="11">
        <v>1260500</v>
      </c>
      <c r="N667" s="11">
        <v>0</v>
      </c>
    </row>
    <row r="668" spans="1:14" x14ac:dyDescent="0.3">
      <c r="A668" s="10">
        <v>46027</v>
      </c>
      <c r="B668" t="s">
        <v>19</v>
      </c>
      <c r="C668" t="str">
        <f t="shared" si="30"/>
        <v>3798512613668</v>
      </c>
      <c r="D668" t="str">
        <f t="shared" si="31"/>
        <v>Client668</v>
      </c>
      <c r="E668" t="str">
        <f t="shared" si="32"/>
        <v>BOB668</v>
      </c>
      <c r="F668" t="s">
        <v>24</v>
      </c>
      <c r="G668" s="11" t="s">
        <v>74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x14ac:dyDescent="0.3">
      <c r="A669" s="10">
        <v>46027</v>
      </c>
      <c r="B669" t="s">
        <v>19</v>
      </c>
      <c r="C669" t="str">
        <f t="shared" si="30"/>
        <v>3798512613669</v>
      </c>
      <c r="D669" t="str">
        <f t="shared" si="31"/>
        <v>Client669</v>
      </c>
      <c r="E669" t="str">
        <f t="shared" si="32"/>
        <v>BOB669</v>
      </c>
      <c r="F669" t="s">
        <v>22</v>
      </c>
      <c r="G669" s="11" t="s">
        <v>23</v>
      </c>
      <c r="H669" s="11">
        <v>0</v>
      </c>
      <c r="I669" s="11">
        <v>0</v>
      </c>
      <c r="J669" s="11">
        <v>0</v>
      </c>
      <c r="K669" s="11">
        <v>1000000</v>
      </c>
      <c r="L669" s="11">
        <v>10732700</v>
      </c>
      <c r="M669" s="11">
        <v>10659400</v>
      </c>
      <c r="N669" s="11">
        <v>0</v>
      </c>
    </row>
    <row r="670" spans="1:14" x14ac:dyDescent="0.3">
      <c r="A670" s="10">
        <v>46027</v>
      </c>
      <c r="B670" t="s">
        <v>19</v>
      </c>
      <c r="C670" t="str">
        <f t="shared" si="30"/>
        <v>3798512613670</v>
      </c>
      <c r="D670" t="str">
        <f t="shared" si="31"/>
        <v>Client670</v>
      </c>
      <c r="E670" t="str">
        <f t="shared" si="32"/>
        <v>BOB670</v>
      </c>
      <c r="F670" t="s">
        <v>25</v>
      </c>
      <c r="G670" s="11" t="s">
        <v>21</v>
      </c>
      <c r="H670" s="11">
        <v>0</v>
      </c>
      <c r="I670" s="11">
        <v>0</v>
      </c>
      <c r="J670" s="11">
        <v>0</v>
      </c>
      <c r="K670" s="11">
        <v>0</v>
      </c>
      <c r="L670" s="11">
        <v>153000</v>
      </c>
      <c r="M670" s="11">
        <v>0</v>
      </c>
      <c r="N670" s="11">
        <v>0</v>
      </c>
    </row>
    <row r="671" spans="1:14" x14ac:dyDescent="0.3">
      <c r="A671" s="10">
        <v>46027</v>
      </c>
      <c r="B671" t="s">
        <v>19</v>
      </c>
      <c r="C671" t="str">
        <f t="shared" si="30"/>
        <v>3798512613671</v>
      </c>
      <c r="D671" t="str">
        <f t="shared" si="31"/>
        <v>Client671</v>
      </c>
      <c r="E671" t="str">
        <f t="shared" si="32"/>
        <v>BOB671</v>
      </c>
      <c r="F671" t="s">
        <v>24</v>
      </c>
      <c r="G671" s="11" t="s">
        <v>21</v>
      </c>
      <c r="H671" s="11">
        <v>0</v>
      </c>
      <c r="I671" s="11">
        <v>0</v>
      </c>
      <c r="J671" s="11">
        <v>0</v>
      </c>
      <c r="K671" s="11">
        <v>163200</v>
      </c>
      <c r="L671" s="11">
        <v>796300</v>
      </c>
      <c r="M671" s="11">
        <v>859800</v>
      </c>
      <c r="N671" s="11">
        <v>0</v>
      </c>
    </row>
    <row r="672" spans="1:14" x14ac:dyDescent="0.3">
      <c r="A672" s="10">
        <v>46027</v>
      </c>
      <c r="B672" t="s">
        <v>19</v>
      </c>
      <c r="C672" t="str">
        <f t="shared" si="30"/>
        <v>3798512613672</v>
      </c>
      <c r="D672" t="str">
        <f t="shared" si="31"/>
        <v>Client672</v>
      </c>
      <c r="E672" t="str">
        <f t="shared" si="32"/>
        <v>BOB672</v>
      </c>
      <c r="G672" s="11"/>
      <c r="H672" s="11">
        <v>0</v>
      </c>
      <c r="I672" s="11">
        <v>0</v>
      </c>
      <c r="J672" s="11">
        <v>0</v>
      </c>
      <c r="K672" s="11">
        <v>0</v>
      </c>
      <c r="L672" s="11">
        <v>385700</v>
      </c>
      <c r="M672" s="11">
        <v>450700</v>
      </c>
      <c r="N672" s="11">
        <v>0</v>
      </c>
    </row>
    <row r="673" spans="1:14" x14ac:dyDescent="0.3">
      <c r="A673" s="10">
        <v>46027</v>
      </c>
      <c r="B673" t="s">
        <v>19</v>
      </c>
      <c r="C673" t="str">
        <f t="shared" si="30"/>
        <v>3798512613673</v>
      </c>
      <c r="D673" t="str">
        <f t="shared" si="31"/>
        <v>Client673</v>
      </c>
      <c r="E673" t="str">
        <f t="shared" si="32"/>
        <v>BOB673</v>
      </c>
      <c r="F673" t="s">
        <v>26</v>
      </c>
      <c r="G673" s="11" t="s">
        <v>47</v>
      </c>
      <c r="H673" s="11">
        <v>0</v>
      </c>
      <c r="I673" s="11">
        <v>0</v>
      </c>
      <c r="J673" s="11">
        <v>0</v>
      </c>
      <c r="K673" s="11">
        <v>0</v>
      </c>
      <c r="L673" s="11">
        <v>195300</v>
      </c>
      <c r="M673" s="11">
        <v>201700</v>
      </c>
      <c r="N673" s="11">
        <v>0</v>
      </c>
    </row>
    <row r="674" spans="1:14" x14ac:dyDescent="0.3">
      <c r="A674" s="10">
        <v>46027</v>
      </c>
      <c r="B674" t="s">
        <v>19</v>
      </c>
      <c r="C674" t="str">
        <f t="shared" si="30"/>
        <v>3798512613674</v>
      </c>
      <c r="D674" t="str">
        <f t="shared" si="31"/>
        <v>Client674</v>
      </c>
      <c r="E674" t="str">
        <f t="shared" si="32"/>
        <v>BOB674</v>
      </c>
      <c r="F674" t="s">
        <v>26</v>
      </c>
      <c r="G674" s="11" t="s">
        <v>53</v>
      </c>
      <c r="H674" s="11">
        <v>0</v>
      </c>
      <c r="I674" s="11">
        <v>0</v>
      </c>
      <c r="J674" s="11">
        <v>0</v>
      </c>
      <c r="K674" s="11">
        <v>0</v>
      </c>
      <c r="L674" s="11">
        <v>979000</v>
      </c>
      <c r="M674" s="11">
        <v>1092300</v>
      </c>
      <c r="N674" s="11">
        <v>0</v>
      </c>
    </row>
    <row r="675" spans="1:14" x14ac:dyDescent="0.3">
      <c r="A675" s="10">
        <v>46027</v>
      </c>
      <c r="B675" t="s">
        <v>19</v>
      </c>
      <c r="C675" t="str">
        <f t="shared" si="30"/>
        <v>3798512613675</v>
      </c>
      <c r="D675" t="str">
        <f t="shared" si="31"/>
        <v>Client675</v>
      </c>
      <c r="E675" t="str">
        <f t="shared" si="32"/>
        <v>BOB675</v>
      </c>
      <c r="F675" t="s">
        <v>20</v>
      </c>
      <c r="G675" s="11" t="s">
        <v>21</v>
      </c>
      <c r="H675" s="11">
        <v>0</v>
      </c>
      <c r="I675" s="11">
        <v>0</v>
      </c>
      <c r="J675" s="11">
        <v>0</v>
      </c>
      <c r="K675" s="11">
        <v>0</v>
      </c>
      <c r="L675" s="11">
        <v>12469500</v>
      </c>
      <c r="M675" s="11">
        <v>12623400</v>
      </c>
      <c r="N675" s="11">
        <v>0</v>
      </c>
    </row>
    <row r="676" spans="1:14" x14ac:dyDescent="0.3">
      <c r="A676" s="10">
        <v>46027</v>
      </c>
      <c r="B676" t="s">
        <v>19</v>
      </c>
      <c r="C676" t="str">
        <f t="shared" si="30"/>
        <v>3798512613676</v>
      </c>
      <c r="D676" t="str">
        <f t="shared" si="31"/>
        <v>Client676</v>
      </c>
      <c r="E676" t="str">
        <f t="shared" si="32"/>
        <v>BOB676</v>
      </c>
      <c r="G676" s="11"/>
      <c r="H676" s="11">
        <v>0</v>
      </c>
      <c r="I676" s="11">
        <v>0</v>
      </c>
      <c r="J676" s="11">
        <v>0</v>
      </c>
      <c r="K676" s="11">
        <v>0</v>
      </c>
      <c r="L676" s="11">
        <v>427900</v>
      </c>
      <c r="M676" s="11">
        <v>1019500</v>
      </c>
      <c r="N676" s="11">
        <v>0</v>
      </c>
    </row>
    <row r="677" spans="1:14" x14ac:dyDescent="0.3">
      <c r="A677" s="10">
        <v>46027</v>
      </c>
      <c r="B677" t="s">
        <v>19</v>
      </c>
      <c r="C677" t="str">
        <f t="shared" si="30"/>
        <v>3798512613677</v>
      </c>
      <c r="D677" t="str">
        <f t="shared" si="31"/>
        <v>Client677</v>
      </c>
      <c r="E677" t="str">
        <f t="shared" si="32"/>
        <v>BOB677</v>
      </c>
      <c r="F677" t="s">
        <v>24</v>
      </c>
      <c r="G677" s="11" t="s">
        <v>21</v>
      </c>
      <c r="H677" s="11">
        <v>0</v>
      </c>
      <c r="I677" s="11">
        <v>0</v>
      </c>
      <c r="J677" s="11">
        <v>0</v>
      </c>
      <c r="K677" s="11">
        <v>0</v>
      </c>
      <c r="L677" s="11">
        <v>25486900</v>
      </c>
      <c r="M677" s="11">
        <v>25753900</v>
      </c>
      <c r="N677" s="11">
        <v>0</v>
      </c>
    </row>
    <row r="678" spans="1:14" x14ac:dyDescent="0.3">
      <c r="A678" s="10">
        <v>46027</v>
      </c>
      <c r="B678" t="s">
        <v>19</v>
      </c>
      <c r="C678" t="str">
        <f t="shared" si="30"/>
        <v>3798512613678</v>
      </c>
      <c r="D678" t="str">
        <f t="shared" si="31"/>
        <v>Client678</v>
      </c>
      <c r="E678" t="str">
        <f t="shared" si="32"/>
        <v>BOB678</v>
      </c>
      <c r="F678" t="s">
        <v>42</v>
      </c>
      <c r="G678" s="11" t="s">
        <v>43</v>
      </c>
      <c r="H678" s="11">
        <v>0</v>
      </c>
      <c r="I678" s="11">
        <v>0</v>
      </c>
      <c r="J678" s="11">
        <v>0</v>
      </c>
      <c r="K678" s="11">
        <v>856000</v>
      </c>
      <c r="L678" s="11">
        <v>304600</v>
      </c>
      <c r="M678" s="11">
        <v>2370700</v>
      </c>
      <c r="N678" s="11">
        <v>0</v>
      </c>
    </row>
    <row r="679" spans="1:14" x14ac:dyDescent="0.3">
      <c r="A679" s="10">
        <v>46027</v>
      </c>
      <c r="B679" t="s">
        <v>19</v>
      </c>
      <c r="C679" t="str">
        <f t="shared" si="30"/>
        <v>3798512613679</v>
      </c>
      <c r="D679" t="str">
        <f t="shared" si="31"/>
        <v>Client679</v>
      </c>
      <c r="E679" t="str">
        <f t="shared" si="32"/>
        <v>BOB679</v>
      </c>
      <c r="F679" t="s">
        <v>25</v>
      </c>
      <c r="G679" s="11" t="s">
        <v>21</v>
      </c>
      <c r="H679" s="11">
        <v>0</v>
      </c>
      <c r="I679" s="11">
        <v>804000</v>
      </c>
      <c r="J679" s="11">
        <v>0</v>
      </c>
      <c r="K679" s="11">
        <v>0</v>
      </c>
      <c r="L679" s="11">
        <v>7947400</v>
      </c>
      <c r="M679" s="11">
        <v>9237600</v>
      </c>
      <c r="N679" s="11">
        <v>0</v>
      </c>
    </row>
    <row r="680" spans="1:14" x14ac:dyDescent="0.3">
      <c r="A680" s="10">
        <v>46027</v>
      </c>
      <c r="B680" t="s">
        <v>19</v>
      </c>
      <c r="C680" t="str">
        <f t="shared" si="30"/>
        <v>3798512613680</v>
      </c>
      <c r="D680" t="str">
        <f t="shared" si="31"/>
        <v>Client680</v>
      </c>
      <c r="E680" t="str">
        <f t="shared" si="32"/>
        <v>BOB680</v>
      </c>
      <c r="F680" t="s">
        <v>42</v>
      </c>
      <c r="G680" s="11" t="s">
        <v>21</v>
      </c>
      <c r="H680" s="11">
        <v>0</v>
      </c>
      <c r="I680" s="11">
        <v>0</v>
      </c>
      <c r="J680" s="11">
        <v>0</v>
      </c>
      <c r="K680" s="11">
        <v>0</v>
      </c>
      <c r="L680" s="11">
        <v>2243100</v>
      </c>
      <c r="M680" s="11">
        <v>2169200</v>
      </c>
      <c r="N680" s="11">
        <v>0</v>
      </c>
    </row>
    <row r="681" spans="1:14" x14ac:dyDescent="0.3">
      <c r="A681" s="10">
        <v>46027</v>
      </c>
      <c r="B681" t="s">
        <v>19</v>
      </c>
      <c r="C681" t="str">
        <f t="shared" si="30"/>
        <v>3798512613681</v>
      </c>
      <c r="D681" t="str">
        <f t="shared" si="31"/>
        <v>Client681</v>
      </c>
      <c r="E681" t="str">
        <f t="shared" si="32"/>
        <v>BOB681</v>
      </c>
      <c r="G681" s="11"/>
      <c r="H681" s="11">
        <v>0</v>
      </c>
      <c r="I681" s="11">
        <v>4807500</v>
      </c>
      <c r="J681" s="11">
        <v>0</v>
      </c>
      <c r="K681" s="11">
        <v>0</v>
      </c>
      <c r="L681" s="11">
        <v>419300</v>
      </c>
      <c r="M681" s="11">
        <v>4268300</v>
      </c>
      <c r="N681" s="11">
        <v>0</v>
      </c>
    </row>
    <row r="682" spans="1:14" x14ac:dyDescent="0.3">
      <c r="A682" s="10">
        <v>46027</v>
      </c>
      <c r="B682" t="s">
        <v>19</v>
      </c>
      <c r="C682" t="str">
        <f t="shared" si="30"/>
        <v>3798512613682</v>
      </c>
      <c r="D682" t="str">
        <f t="shared" si="31"/>
        <v>Client682</v>
      </c>
      <c r="E682" t="str">
        <f t="shared" si="32"/>
        <v>BOB682</v>
      </c>
      <c r="F682" t="s">
        <v>25</v>
      </c>
      <c r="G682" s="11" t="s">
        <v>21</v>
      </c>
      <c r="H682" s="11">
        <v>0</v>
      </c>
      <c r="I682" s="11">
        <v>0</v>
      </c>
      <c r="J682" s="11">
        <v>0</v>
      </c>
      <c r="K682" s="11">
        <v>0</v>
      </c>
      <c r="L682" s="11">
        <v>3440100</v>
      </c>
      <c r="M682" s="11">
        <v>3260800</v>
      </c>
      <c r="N682" s="11">
        <v>0</v>
      </c>
    </row>
    <row r="683" spans="1:14" x14ac:dyDescent="0.3">
      <c r="A683" s="10">
        <v>46027</v>
      </c>
      <c r="B683" t="s">
        <v>19</v>
      </c>
      <c r="C683" t="str">
        <f t="shared" si="30"/>
        <v>3798512613683</v>
      </c>
      <c r="D683" t="str">
        <f t="shared" si="31"/>
        <v>Client683</v>
      </c>
      <c r="E683" t="str">
        <f t="shared" si="32"/>
        <v>BOB683</v>
      </c>
      <c r="F683" t="s">
        <v>20</v>
      </c>
      <c r="G683" s="11" t="s">
        <v>21</v>
      </c>
      <c r="H683" s="11">
        <v>0</v>
      </c>
      <c r="I683" s="11">
        <v>0</v>
      </c>
      <c r="J683" s="11">
        <v>0</v>
      </c>
      <c r="K683" s="11">
        <v>0</v>
      </c>
      <c r="L683" s="11">
        <v>922300</v>
      </c>
      <c r="M683" s="11">
        <v>883900</v>
      </c>
      <c r="N683" s="11">
        <v>0</v>
      </c>
    </row>
    <row r="684" spans="1:14" x14ac:dyDescent="0.3">
      <c r="A684" s="10">
        <v>46027</v>
      </c>
      <c r="B684" t="s">
        <v>19</v>
      </c>
      <c r="C684" t="str">
        <f t="shared" si="30"/>
        <v>3798512613684</v>
      </c>
      <c r="D684" t="str">
        <f t="shared" si="31"/>
        <v>Client684</v>
      </c>
      <c r="E684" t="str">
        <f t="shared" si="32"/>
        <v>BOB684</v>
      </c>
      <c r="G684" s="11"/>
      <c r="H684" s="11">
        <v>0</v>
      </c>
      <c r="I684" s="11">
        <v>0</v>
      </c>
      <c r="J684" s="11">
        <v>0</v>
      </c>
      <c r="K684" s="11">
        <v>0</v>
      </c>
      <c r="L684" s="11">
        <v>444700</v>
      </c>
      <c r="M684" s="11">
        <v>298000</v>
      </c>
      <c r="N684" s="11">
        <v>0</v>
      </c>
    </row>
    <row r="685" spans="1:14" x14ac:dyDescent="0.3">
      <c r="A685" s="10">
        <v>46027</v>
      </c>
      <c r="B685" t="s">
        <v>19</v>
      </c>
      <c r="C685" t="str">
        <f t="shared" si="30"/>
        <v>3798512613685</v>
      </c>
      <c r="D685" t="str">
        <f t="shared" si="31"/>
        <v>Client685</v>
      </c>
      <c r="E685" t="str">
        <f t="shared" si="32"/>
        <v>BOB685</v>
      </c>
      <c r="F685" t="s">
        <v>20</v>
      </c>
      <c r="G685" s="11" t="s">
        <v>21</v>
      </c>
      <c r="H685" s="11">
        <v>0</v>
      </c>
      <c r="I685" s="11">
        <v>0</v>
      </c>
      <c r="J685" s="11">
        <v>0</v>
      </c>
      <c r="K685" s="11">
        <v>3000000</v>
      </c>
      <c r="L685" s="11">
        <v>27741200</v>
      </c>
      <c r="M685" s="11">
        <v>33169700</v>
      </c>
      <c r="N685" s="11">
        <v>0</v>
      </c>
    </row>
    <row r="686" spans="1:14" x14ac:dyDescent="0.3">
      <c r="A686" s="10">
        <v>46027</v>
      </c>
      <c r="B686" t="s">
        <v>19</v>
      </c>
      <c r="C686" t="str">
        <f t="shared" si="30"/>
        <v>3798512613686</v>
      </c>
      <c r="D686" t="str">
        <f t="shared" si="31"/>
        <v>Client686</v>
      </c>
      <c r="E686" t="str">
        <f t="shared" si="32"/>
        <v>BOB686</v>
      </c>
      <c r="F686" t="s">
        <v>20</v>
      </c>
      <c r="G686" s="11" t="s">
        <v>21</v>
      </c>
      <c r="H686" s="11">
        <v>0</v>
      </c>
      <c r="I686" s="11">
        <v>0</v>
      </c>
      <c r="J686" s="11">
        <v>0</v>
      </c>
      <c r="K686" s="11">
        <v>0</v>
      </c>
      <c r="L686" s="11">
        <v>819600</v>
      </c>
      <c r="M686" s="11">
        <v>981900</v>
      </c>
      <c r="N686" s="11">
        <v>0</v>
      </c>
    </row>
    <row r="687" spans="1:14" x14ac:dyDescent="0.3">
      <c r="A687" s="10">
        <v>46027</v>
      </c>
      <c r="B687" t="s">
        <v>19</v>
      </c>
      <c r="C687" t="str">
        <f t="shared" si="30"/>
        <v>3798512613687</v>
      </c>
      <c r="D687" t="str">
        <f t="shared" si="31"/>
        <v>Client687</v>
      </c>
      <c r="E687" t="str">
        <f t="shared" si="32"/>
        <v>BOB687</v>
      </c>
      <c r="G687" s="11"/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</row>
    <row r="688" spans="1:14" x14ac:dyDescent="0.3">
      <c r="A688" s="10">
        <v>46027</v>
      </c>
      <c r="B688" t="s">
        <v>19</v>
      </c>
      <c r="C688" t="str">
        <f t="shared" si="30"/>
        <v>3798512613688</v>
      </c>
      <c r="D688" t="str">
        <f t="shared" si="31"/>
        <v>Client688</v>
      </c>
      <c r="E688" t="str">
        <f t="shared" si="32"/>
        <v>BOB688</v>
      </c>
      <c r="F688" t="s">
        <v>22</v>
      </c>
      <c r="G688" s="11" t="s">
        <v>23</v>
      </c>
      <c r="H688" s="11">
        <v>0</v>
      </c>
      <c r="I688" s="11">
        <v>0</v>
      </c>
      <c r="J688" s="11">
        <v>0</v>
      </c>
      <c r="K688" s="11">
        <v>800800</v>
      </c>
      <c r="L688" s="11">
        <v>1828700</v>
      </c>
      <c r="M688" s="11">
        <v>1932300</v>
      </c>
      <c r="N688" s="11">
        <v>0</v>
      </c>
    </row>
    <row r="689" spans="1:14" x14ac:dyDescent="0.3">
      <c r="A689" s="10">
        <v>46027</v>
      </c>
      <c r="B689" t="s">
        <v>19</v>
      </c>
      <c r="C689" t="str">
        <f t="shared" si="30"/>
        <v>3798512613689</v>
      </c>
      <c r="D689" t="str">
        <f t="shared" si="31"/>
        <v>Client689</v>
      </c>
      <c r="E689" t="str">
        <f t="shared" si="32"/>
        <v>BOB689</v>
      </c>
      <c r="G689" s="11"/>
      <c r="H689" s="11">
        <v>0</v>
      </c>
      <c r="I689" s="11">
        <v>0</v>
      </c>
      <c r="J689" s="11">
        <v>0</v>
      </c>
      <c r="K689" s="11">
        <v>0</v>
      </c>
      <c r="L689" s="11">
        <v>13620400</v>
      </c>
      <c r="M689" s="11">
        <v>12769500</v>
      </c>
      <c r="N689" s="11">
        <v>0</v>
      </c>
    </row>
    <row r="690" spans="1:14" x14ac:dyDescent="0.3">
      <c r="A690" s="10">
        <v>46027</v>
      </c>
      <c r="B690" t="s">
        <v>19</v>
      </c>
      <c r="C690" t="str">
        <f t="shared" si="30"/>
        <v>3798512613690</v>
      </c>
      <c r="D690" t="str">
        <f t="shared" si="31"/>
        <v>Client690</v>
      </c>
      <c r="E690" t="str">
        <f t="shared" si="32"/>
        <v>BOB690</v>
      </c>
      <c r="F690" t="s">
        <v>22</v>
      </c>
      <c r="G690" s="11" t="s">
        <v>23</v>
      </c>
      <c r="H690" s="11">
        <v>0</v>
      </c>
      <c r="I690" s="11">
        <v>0</v>
      </c>
      <c r="J690" s="11">
        <v>0</v>
      </c>
      <c r="K690" s="11">
        <v>0</v>
      </c>
      <c r="L690" s="11">
        <v>20027000</v>
      </c>
      <c r="M690" s="11">
        <v>21524900</v>
      </c>
      <c r="N690" s="11">
        <v>0</v>
      </c>
    </row>
    <row r="691" spans="1:14" x14ac:dyDescent="0.3">
      <c r="A691" s="10">
        <v>46027</v>
      </c>
      <c r="B691" t="s">
        <v>19</v>
      </c>
      <c r="C691" t="str">
        <f t="shared" si="30"/>
        <v>3798512613691</v>
      </c>
      <c r="D691" t="str">
        <f t="shared" si="31"/>
        <v>Client691</v>
      </c>
      <c r="E691" t="str">
        <f t="shared" si="32"/>
        <v>BOB691</v>
      </c>
      <c r="F691" t="s">
        <v>24</v>
      </c>
      <c r="G691" s="11" t="s">
        <v>21</v>
      </c>
      <c r="H691" s="11">
        <v>0</v>
      </c>
      <c r="I691" s="11">
        <v>0</v>
      </c>
      <c r="J691" s="11">
        <v>0</v>
      </c>
      <c r="K691" s="11">
        <v>0</v>
      </c>
      <c r="L691" s="11">
        <v>613700</v>
      </c>
      <c r="M691" s="11">
        <v>596300</v>
      </c>
      <c r="N691" s="11">
        <v>0</v>
      </c>
    </row>
    <row r="692" spans="1:14" x14ac:dyDescent="0.3">
      <c r="A692" s="10">
        <v>46027</v>
      </c>
      <c r="B692" t="s">
        <v>19</v>
      </c>
      <c r="C692" t="str">
        <f t="shared" si="30"/>
        <v>3798512613692</v>
      </c>
      <c r="D692" t="str">
        <f t="shared" si="31"/>
        <v>Client692</v>
      </c>
      <c r="E692" t="str">
        <f t="shared" si="32"/>
        <v>BOB692</v>
      </c>
      <c r="G692" s="11"/>
      <c r="H692" s="11">
        <v>0</v>
      </c>
      <c r="I692" s="11">
        <v>0</v>
      </c>
      <c r="J692" s="11">
        <v>0</v>
      </c>
      <c r="K692" s="11">
        <v>1726000</v>
      </c>
      <c r="L692" s="11">
        <v>538000</v>
      </c>
      <c r="M692" s="11">
        <v>3055800</v>
      </c>
      <c r="N692" s="11">
        <v>0</v>
      </c>
    </row>
    <row r="693" spans="1:14" x14ac:dyDescent="0.3">
      <c r="A693" s="10">
        <v>46027</v>
      </c>
      <c r="B693" t="s">
        <v>19</v>
      </c>
      <c r="C693" t="str">
        <f t="shared" si="30"/>
        <v>3798512613693</v>
      </c>
      <c r="D693" t="str">
        <f t="shared" si="31"/>
        <v>Client693</v>
      </c>
      <c r="E693" t="str">
        <f t="shared" si="32"/>
        <v>BOB693</v>
      </c>
      <c r="G693" s="11"/>
      <c r="H693" s="11">
        <v>0</v>
      </c>
      <c r="I693" s="11">
        <v>0</v>
      </c>
      <c r="J693" s="11">
        <v>0</v>
      </c>
      <c r="K693" s="11">
        <v>0</v>
      </c>
      <c r="L693" s="11">
        <v>225200</v>
      </c>
      <c r="M693" s="11">
        <v>228000</v>
      </c>
      <c r="N693" s="11">
        <v>0</v>
      </c>
    </row>
    <row r="694" spans="1:14" x14ac:dyDescent="0.3">
      <c r="A694" s="10">
        <v>46027</v>
      </c>
      <c r="B694" t="s">
        <v>19</v>
      </c>
      <c r="C694" t="str">
        <f t="shared" si="30"/>
        <v>3798512613694</v>
      </c>
      <c r="D694" t="str">
        <f t="shared" si="31"/>
        <v>Client694</v>
      </c>
      <c r="E694" t="str">
        <f t="shared" si="32"/>
        <v>BOB694</v>
      </c>
      <c r="F694" t="s">
        <v>20</v>
      </c>
      <c r="G694" s="11" t="s">
        <v>21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1:14" x14ac:dyDescent="0.3">
      <c r="A695" s="10">
        <v>46027</v>
      </c>
      <c r="B695" t="s">
        <v>19</v>
      </c>
      <c r="C695" t="str">
        <f t="shared" si="30"/>
        <v>3798512613695</v>
      </c>
      <c r="D695" t="str">
        <f t="shared" si="31"/>
        <v>Client695</v>
      </c>
      <c r="E695" t="str">
        <f t="shared" si="32"/>
        <v>BOB695</v>
      </c>
      <c r="F695" t="s">
        <v>22</v>
      </c>
      <c r="G695" s="11" t="s">
        <v>23</v>
      </c>
      <c r="H695" s="11">
        <v>0</v>
      </c>
      <c r="I695" s="11">
        <v>0</v>
      </c>
      <c r="J695" s="11">
        <v>0</v>
      </c>
      <c r="K695" s="11">
        <v>500500</v>
      </c>
      <c r="L695" s="11">
        <v>2706200</v>
      </c>
      <c r="M695" s="11">
        <v>2764500</v>
      </c>
      <c r="N695" s="11">
        <v>0</v>
      </c>
    </row>
    <row r="696" spans="1:14" x14ac:dyDescent="0.3">
      <c r="A696" s="10">
        <v>46027</v>
      </c>
      <c r="B696" t="s">
        <v>19</v>
      </c>
      <c r="C696" t="str">
        <f t="shared" si="30"/>
        <v>3798512613696</v>
      </c>
      <c r="D696" t="str">
        <f t="shared" si="31"/>
        <v>Client696</v>
      </c>
      <c r="E696" t="str">
        <f t="shared" si="32"/>
        <v>BOB696</v>
      </c>
      <c r="F696" t="s">
        <v>26</v>
      </c>
      <c r="G696" s="11" t="s">
        <v>53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x14ac:dyDescent="0.3">
      <c r="A697" s="10">
        <v>46027</v>
      </c>
      <c r="B697" t="s">
        <v>19</v>
      </c>
      <c r="C697" t="str">
        <f t="shared" si="30"/>
        <v>3798512613697</v>
      </c>
      <c r="D697" t="str">
        <f t="shared" si="31"/>
        <v>Client697</v>
      </c>
      <c r="E697" t="str">
        <f t="shared" si="32"/>
        <v>BOB697</v>
      </c>
      <c r="F697" t="s">
        <v>20</v>
      </c>
      <c r="G697" s="11" t="s">
        <v>21</v>
      </c>
      <c r="H697" s="11">
        <v>0</v>
      </c>
      <c r="I697" s="11">
        <v>2003000</v>
      </c>
      <c r="J697" s="11">
        <v>0</v>
      </c>
      <c r="K697" s="11">
        <v>0</v>
      </c>
      <c r="L697" s="11">
        <v>5303900</v>
      </c>
      <c r="M697" s="11">
        <v>7392000</v>
      </c>
      <c r="N697" s="11">
        <v>0</v>
      </c>
    </row>
    <row r="698" spans="1:14" x14ac:dyDescent="0.3">
      <c r="A698" s="10">
        <v>46027</v>
      </c>
      <c r="B698" t="s">
        <v>19</v>
      </c>
      <c r="C698" t="str">
        <f t="shared" si="30"/>
        <v>3798512613698</v>
      </c>
      <c r="D698" t="str">
        <f t="shared" si="31"/>
        <v>Client698</v>
      </c>
      <c r="E698" t="str">
        <f t="shared" si="32"/>
        <v>BOB698</v>
      </c>
      <c r="F698" t="s">
        <v>25</v>
      </c>
      <c r="G698" s="11" t="s">
        <v>21</v>
      </c>
      <c r="H698" s="11">
        <v>15000000</v>
      </c>
      <c r="I698" s="11">
        <v>10416500</v>
      </c>
      <c r="J698" s="11">
        <v>0</v>
      </c>
      <c r="K698" s="11">
        <v>0</v>
      </c>
      <c r="L698" s="11">
        <v>54432000</v>
      </c>
      <c r="M698" s="11">
        <v>50148000</v>
      </c>
      <c r="N698" s="11">
        <v>0</v>
      </c>
    </row>
    <row r="699" spans="1:14" x14ac:dyDescent="0.3">
      <c r="A699" s="10">
        <v>46027</v>
      </c>
      <c r="B699" t="s">
        <v>19</v>
      </c>
      <c r="C699" t="str">
        <f t="shared" si="30"/>
        <v>3798512613699</v>
      </c>
      <c r="D699" t="str">
        <f t="shared" si="31"/>
        <v>Client699</v>
      </c>
      <c r="E699" t="str">
        <f t="shared" si="32"/>
        <v>BOB699</v>
      </c>
      <c r="F699" t="s">
        <v>22</v>
      </c>
      <c r="G699" s="11" t="s">
        <v>23</v>
      </c>
      <c r="H699" s="11">
        <v>0</v>
      </c>
      <c r="I699" s="11">
        <v>0</v>
      </c>
      <c r="J699" s="11">
        <v>0</v>
      </c>
      <c r="K699" s="11">
        <v>5005000</v>
      </c>
      <c r="L699" s="11">
        <v>11280700</v>
      </c>
      <c r="M699" s="11">
        <v>10614500</v>
      </c>
      <c r="N699" s="11">
        <v>0</v>
      </c>
    </row>
    <row r="700" spans="1:14" x14ac:dyDescent="0.3">
      <c r="A700" s="10">
        <v>46027</v>
      </c>
      <c r="B700" t="s">
        <v>19</v>
      </c>
      <c r="C700" t="str">
        <f t="shared" si="30"/>
        <v>3798512613700</v>
      </c>
      <c r="D700" t="str">
        <f t="shared" si="31"/>
        <v>Client700</v>
      </c>
      <c r="E700" t="str">
        <f t="shared" si="32"/>
        <v>BOB700</v>
      </c>
      <c r="F700" t="s">
        <v>25</v>
      </c>
      <c r="G700" s="11" t="s">
        <v>21</v>
      </c>
      <c r="H700" s="11">
        <v>0</v>
      </c>
      <c r="I700" s="11">
        <v>0</v>
      </c>
      <c r="J700" s="11">
        <v>0</v>
      </c>
      <c r="K700" s="11">
        <v>0</v>
      </c>
      <c r="L700" s="11">
        <v>9575200</v>
      </c>
      <c r="M700" s="11">
        <v>9250500</v>
      </c>
      <c r="N700" s="11">
        <v>0</v>
      </c>
    </row>
    <row r="701" spans="1:14" x14ac:dyDescent="0.3">
      <c r="A701" s="10">
        <v>46027</v>
      </c>
      <c r="B701" t="s">
        <v>19</v>
      </c>
      <c r="C701" t="str">
        <f t="shared" si="30"/>
        <v>3798512613701</v>
      </c>
      <c r="D701" t="str">
        <f t="shared" si="31"/>
        <v>Client701</v>
      </c>
      <c r="E701" t="str">
        <f t="shared" si="32"/>
        <v>BOB701</v>
      </c>
      <c r="F701" t="s">
        <v>20</v>
      </c>
      <c r="G701" s="11" t="s">
        <v>21</v>
      </c>
      <c r="H701" s="11">
        <v>0</v>
      </c>
      <c r="I701" s="11">
        <v>0</v>
      </c>
      <c r="J701" s="11">
        <v>0</v>
      </c>
      <c r="K701" s="11">
        <v>0</v>
      </c>
      <c r="L701" s="11">
        <v>6900500</v>
      </c>
      <c r="M701" s="11">
        <v>6701200</v>
      </c>
      <c r="N701" s="11">
        <v>0</v>
      </c>
    </row>
    <row r="702" spans="1:14" x14ac:dyDescent="0.3">
      <c r="A702" s="10">
        <v>46027</v>
      </c>
      <c r="B702" t="s">
        <v>19</v>
      </c>
      <c r="C702" t="str">
        <f t="shared" si="30"/>
        <v>3798512613702</v>
      </c>
      <c r="D702" t="str">
        <f t="shared" si="31"/>
        <v>Client702</v>
      </c>
      <c r="E702" t="str">
        <f t="shared" si="32"/>
        <v>BOB702</v>
      </c>
      <c r="F702" t="s">
        <v>24</v>
      </c>
      <c r="G702" s="11" t="s">
        <v>55</v>
      </c>
      <c r="H702" s="11">
        <v>0</v>
      </c>
      <c r="I702" s="11">
        <v>0</v>
      </c>
      <c r="J702" s="11">
        <v>0</v>
      </c>
      <c r="K702" s="11">
        <v>0</v>
      </c>
      <c r="L702" s="11">
        <v>3464300</v>
      </c>
      <c r="M702" s="11">
        <v>3113300</v>
      </c>
      <c r="N702" s="11">
        <v>0</v>
      </c>
    </row>
    <row r="703" spans="1:14" x14ac:dyDescent="0.3">
      <c r="A703" s="10">
        <v>46027</v>
      </c>
      <c r="B703" t="s">
        <v>19</v>
      </c>
      <c r="C703" t="str">
        <f t="shared" si="30"/>
        <v>3798512613703</v>
      </c>
      <c r="D703" t="str">
        <f t="shared" si="31"/>
        <v>Client703</v>
      </c>
      <c r="E703" t="str">
        <f t="shared" si="32"/>
        <v>BOB703</v>
      </c>
      <c r="F703" t="s">
        <v>25</v>
      </c>
      <c r="G703" s="11" t="s">
        <v>21</v>
      </c>
      <c r="H703" s="11">
        <v>0</v>
      </c>
      <c r="I703" s="11">
        <v>200000</v>
      </c>
      <c r="J703" s="11">
        <v>0</v>
      </c>
      <c r="K703" s="11">
        <v>0</v>
      </c>
      <c r="L703" s="11">
        <v>4089300</v>
      </c>
      <c r="M703" s="11">
        <v>5842100</v>
      </c>
      <c r="N703" s="11">
        <v>0</v>
      </c>
    </row>
    <row r="704" spans="1:14" x14ac:dyDescent="0.3">
      <c r="A704" s="10">
        <v>46027</v>
      </c>
      <c r="B704" t="s">
        <v>19</v>
      </c>
      <c r="C704" t="str">
        <f t="shared" si="30"/>
        <v>3798512613704</v>
      </c>
      <c r="D704" t="str">
        <f t="shared" si="31"/>
        <v>Client704</v>
      </c>
      <c r="E704" t="str">
        <f t="shared" si="32"/>
        <v>BOB704</v>
      </c>
      <c r="F704" t="s">
        <v>24</v>
      </c>
      <c r="G704" s="11" t="s">
        <v>21</v>
      </c>
      <c r="H704" s="11">
        <v>0</v>
      </c>
      <c r="I704" s="11">
        <v>2003000</v>
      </c>
      <c r="J704" s="11">
        <v>0</v>
      </c>
      <c r="K704" s="11">
        <v>0</v>
      </c>
      <c r="L704" s="11">
        <v>2916800</v>
      </c>
      <c r="M704" s="11">
        <v>4609300</v>
      </c>
      <c r="N704" s="11">
        <v>0</v>
      </c>
    </row>
    <row r="705" spans="1:14" x14ac:dyDescent="0.3">
      <c r="A705" s="10">
        <v>46027</v>
      </c>
      <c r="B705" t="s">
        <v>19</v>
      </c>
      <c r="C705" t="str">
        <f t="shared" si="30"/>
        <v>3798512613705</v>
      </c>
      <c r="D705" t="str">
        <f t="shared" si="31"/>
        <v>Client705</v>
      </c>
      <c r="E705" t="str">
        <f t="shared" si="32"/>
        <v>BOB705</v>
      </c>
      <c r="F705" t="s">
        <v>25</v>
      </c>
      <c r="G705" s="11" t="s">
        <v>21</v>
      </c>
      <c r="H705" s="11">
        <v>0</v>
      </c>
      <c r="I705" s="11">
        <v>0</v>
      </c>
      <c r="J705" s="11">
        <v>2000000</v>
      </c>
      <c r="K705" s="11">
        <v>1000000</v>
      </c>
      <c r="L705" s="11">
        <v>1212200</v>
      </c>
      <c r="M705" s="11">
        <v>50000</v>
      </c>
      <c r="N705" s="11">
        <v>0</v>
      </c>
    </row>
    <row r="706" spans="1:14" x14ac:dyDescent="0.3">
      <c r="A706" s="10">
        <v>46027</v>
      </c>
      <c r="B706" t="s">
        <v>19</v>
      </c>
      <c r="C706" t="str">
        <f t="shared" si="30"/>
        <v>3798512613706</v>
      </c>
      <c r="D706" t="str">
        <f t="shared" si="31"/>
        <v>Client706</v>
      </c>
      <c r="E706" t="str">
        <f t="shared" si="32"/>
        <v>BOB706</v>
      </c>
      <c r="F706" t="s">
        <v>26</v>
      </c>
      <c r="G706" s="11" t="s">
        <v>21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x14ac:dyDescent="0.3">
      <c r="A707" s="10">
        <v>46027</v>
      </c>
      <c r="B707" t="s">
        <v>19</v>
      </c>
      <c r="C707" t="str">
        <f t="shared" ref="C707:C770" si="33" xml:space="preserve"> "3798512613" &amp; ROW()</f>
        <v>3798512613707</v>
      </c>
      <c r="D707" t="str">
        <f t="shared" ref="D707:D770" si="34">"Client"&amp;ROW()</f>
        <v>Client707</v>
      </c>
      <c r="E707" t="str">
        <f t="shared" ref="E707:E770" si="35">"BOB"&amp;ROW()</f>
        <v>BOB707</v>
      </c>
      <c r="F707" t="s">
        <v>26</v>
      </c>
      <c r="G707" s="11" t="s">
        <v>21</v>
      </c>
      <c r="H707" s="11">
        <v>0</v>
      </c>
      <c r="I707" s="11">
        <v>0</v>
      </c>
      <c r="J707" s="11">
        <v>700000</v>
      </c>
      <c r="K707" s="11">
        <v>0</v>
      </c>
      <c r="L707" s="11">
        <v>8858700</v>
      </c>
      <c r="M707" s="11">
        <v>8230600</v>
      </c>
      <c r="N707" s="11">
        <v>0</v>
      </c>
    </row>
    <row r="708" spans="1:14" x14ac:dyDescent="0.3">
      <c r="A708" s="10">
        <v>46027</v>
      </c>
      <c r="B708" t="s">
        <v>19</v>
      </c>
      <c r="C708" t="str">
        <f t="shared" si="33"/>
        <v>3798512613708</v>
      </c>
      <c r="D708" t="str">
        <f t="shared" si="34"/>
        <v>Client708</v>
      </c>
      <c r="E708" t="str">
        <f t="shared" si="35"/>
        <v>BOB708</v>
      </c>
      <c r="F708" t="s">
        <v>22</v>
      </c>
      <c r="G708" s="11" t="s">
        <v>23</v>
      </c>
      <c r="H708" s="11">
        <v>0</v>
      </c>
      <c r="I708" s="11">
        <v>0</v>
      </c>
      <c r="J708" s="11">
        <v>0</v>
      </c>
      <c r="K708" s="11">
        <v>3003000</v>
      </c>
      <c r="L708" s="11">
        <v>42758100</v>
      </c>
      <c r="M708" s="11">
        <v>46064500</v>
      </c>
      <c r="N708" s="11">
        <v>0</v>
      </c>
    </row>
    <row r="709" spans="1:14" x14ac:dyDescent="0.3">
      <c r="A709" s="10">
        <v>46027</v>
      </c>
      <c r="B709" t="s">
        <v>19</v>
      </c>
      <c r="C709" t="str">
        <f t="shared" si="33"/>
        <v>3798512613709</v>
      </c>
      <c r="D709" t="str">
        <f t="shared" si="34"/>
        <v>Client709</v>
      </c>
      <c r="E709" t="str">
        <f t="shared" si="35"/>
        <v>BOB709</v>
      </c>
      <c r="F709" t="s">
        <v>22</v>
      </c>
      <c r="G709" s="11" t="s">
        <v>23</v>
      </c>
      <c r="H709" s="11">
        <v>0</v>
      </c>
      <c r="I709" s="11">
        <v>0</v>
      </c>
      <c r="J709" s="11">
        <v>66355800</v>
      </c>
      <c r="K709" s="11">
        <v>38800000</v>
      </c>
      <c r="L709" s="11">
        <v>181876900</v>
      </c>
      <c r="M709" s="11">
        <v>134742300</v>
      </c>
      <c r="N709" s="11">
        <v>0</v>
      </c>
    </row>
    <row r="710" spans="1:14" x14ac:dyDescent="0.3">
      <c r="A710" s="10">
        <v>46027</v>
      </c>
      <c r="B710" t="s">
        <v>19</v>
      </c>
      <c r="C710" t="str">
        <f t="shared" si="33"/>
        <v>3798512613710</v>
      </c>
      <c r="D710" t="str">
        <f t="shared" si="34"/>
        <v>Client710</v>
      </c>
      <c r="E710" t="str">
        <f t="shared" si="35"/>
        <v>BOB710</v>
      </c>
      <c r="F710" t="s">
        <v>26</v>
      </c>
      <c r="G710" s="11" t="s">
        <v>65</v>
      </c>
      <c r="H710" s="11">
        <v>0</v>
      </c>
      <c r="I710" s="11">
        <v>0</v>
      </c>
      <c r="J710" s="11">
        <v>0</v>
      </c>
      <c r="K710" s="11">
        <v>0</v>
      </c>
      <c r="L710" s="11">
        <v>33200</v>
      </c>
      <c r="M710" s="11">
        <v>790800</v>
      </c>
      <c r="N710" s="11">
        <v>0</v>
      </c>
    </row>
    <row r="711" spans="1:14" x14ac:dyDescent="0.3">
      <c r="A711" s="10">
        <v>46027</v>
      </c>
      <c r="B711" t="s">
        <v>19</v>
      </c>
      <c r="C711" t="str">
        <f t="shared" si="33"/>
        <v>3798512613711</v>
      </c>
      <c r="D711" t="str">
        <f t="shared" si="34"/>
        <v>Client711</v>
      </c>
      <c r="E711" t="str">
        <f t="shared" si="35"/>
        <v>BOB711</v>
      </c>
      <c r="F711" t="s">
        <v>25</v>
      </c>
      <c r="G711" s="11" t="s">
        <v>21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</row>
    <row r="712" spans="1:14" x14ac:dyDescent="0.3">
      <c r="A712" s="10">
        <v>46027</v>
      </c>
      <c r="B712" t="s">
        <v>19</v>
      </c>
      <c r="C712" t="str">
        <f t="shared" si="33"/>
        <v>3798512613712</v>
      </c>
      <c r="D712" t="str">
        <f t="shared" si="34"/>
        <v>Client712</v>
      </c>
      <c r="E712" t="str">
        <f t="shared" si="35"/>
        <v>BOB712</v>
      </c>
      <c r="G712" s="11"/>
      <c r="H712" s="11">
        <v>0</v>
      </c>
      <c r="I712" s="11">
        <v>0</v>
      </c>
      <c r="J712" s="11">
        <v>0</v>
      </c>
      <c r="K712" s="11">
        <v>0</v>
      </c>
      <c r="L712" s="11">
        <v>203400</v>
      </c>
      <c r="M712" s="11">
        <v>153000</v>
      </c>
      <c r="N712" s="11">
        <v>0</v>
      </c>
    </row>
    <row r="713" spans="1:14" x14ac:dyDescent="0.3">
      <c r="A713" s="10">
        <v>46027</v>
      </c>
      <c r="B713" t="s">
        <v>19</v>
      </c>
      <c r="C713" t="str">
        <f t="shared" si="33"/>
        <v>3798512613713</v>
      </c>
      <c r="D713" t="str">
        <f t="shared" si="34"/>
        <v>Client713</v>
      </c>
      <c r="E713" t="str">
        <f t="shared" si="35"/>
        <v>BOB713</v>
      </c>
      <c r="G713" s="11"/>
      <c r="H713" s="11">
        <v>0</v>
      </c>
      <c r="I713" s="11">
        <v>0</v>
      </c>
      <c r="J713" s="11">
        <v>0</v>
      </c>
      <c r="K713" s="11">
        <v>1300000</v>
      </c>
      <c r="L713" s="11">
        <v>1989200</v>
      </c>
      <c r="M713" s="11">
        <v>3408600</v>
      </c>
      <c r="N713" s="11">
        <v>0</v>
      </c>
    </row>
    <row r="714" spans="1:14" x14ac:dyDescent="0.3">
      <c r="A714" s="10">
        <v>46027</v>
      </c>
      <c r="B714" t="s">
        <v>19</v>
      </c>
      <c r="C714" t="str">
        <f t="shared" si="33"/>
        <v>3798512613714</v>
      </c>
      <c r="D714" t="str">
        <f t="shared" si="34"/>
        <v>Client714</v>
      </c>
      <c r="E714" t="str">
        <f t="shared" si="35"/>
        <v>BOB714</v>
      </c>
      <c r="F714" t="s">
        <v>20</v>
      </c>
      <c r="G714" s="11" t="s">
        <v>21</v>
      </c>
      <c r="H714" s="11">
        <v>0</v>
      </c>
      <c r="I714" s="11">
        <v>0</v>
      </c>
      <c r="J714" s="11">
        <v>0</v>
      </c>
      <c r="K714" s="11">
        <v>0</v>
      </c>
      <c r="L714" s="11">
        <v>2070800</v>
      </c>
      <c r="M714" s="11">
        <v>2020100</v>
      </c>
      <c r="N714" s="11">
        <v>0</v>
      </c>
    </row>
    <row r="715" spans="1:14" x14ac:dyDescent="0.3">
      <c r="A715" s="10">
        <v>46027</v>
      </c>
      <c r="B715" t="s">
        <v>19</v>
      </c>
      <c r="C715" t="str">
        <f t="shared" si="33"/>
        <v>3798512613715</v>
      </c>
      <c r="D715" t="str">
        <f t="shared" si="34"/>
        <v>Client715</v>
      </c>
      <c r="E715" t="str">
        <f t="shared" si="35"/>
        <v>BOB715</v>
      </c>
      <c r="F715" t="s">
        <v>24</v>
      </c>
      <c r="G715" s="11" t="s">
        <v>21</v>
      </c>
      <c r="H715" s="11">
        <v>0</v>
      </c>
      <c r="I715" s="11">
        <v>0</v>
      </c>
      <c r="J715" s="11">
        <v>0</v>
      </c>
      <c r="K715" s="11">
        <v>10800000</v>
      </c>
      <c r="L715" s="11">
        <v>17181400</v>
      </c>
      <c r="M715" s="11">
        <v>25713600</v>
      </c>
      <c r="N715" s="11">
        <v>0</v>
      </c>
    </row>
    <row r="716" spans="1:14" x14ac:dyDescent="0.3">
      <c r="A716" s="10">
        <v>46027</v>
      </c>
      <c r="B716" t="s">
        <v>19</v>
      </c>
      <c r="C716" t="str">
        <f t="shared" si="33"/>
        <v>3798512613716</v>
      </c>
      <c r="D716" t="str">
        <f t="shared" si="34"/>
        <v>Client716</v>
      </c>
      <c r="E716" t="str">
        <f t="shared" si="35"/>
        <v>BOB716</v>
      </c>
      <c r="F716" t="s">
        <v>25</v>
      </c>
      <c r="G716" s="11" t="s">
        <v>21</v>
      </c>
      <c r="H716" s="11">
        <v>0</v>
      </c>
      <c r="I716" s="11">
        <v>0</v>
      </c>
      <c r="J716" s="11">
        <v>200000</v>
      </c>
      <c r="K716" s="11">
        <v>700000</v>
      </c>
      <c r="L716" s="11">
        <v>4722900</v>
      </c>
      <c r="M716" s="11">
        <v>5090800</v>
      </c>
      <c r="N716" s="11">
        <v>0</v>
      </c>
    </row>
    <row r="717" spans="1:14" x14ac:dyDescent="0.3">
      <c r="A717" s="10">
        <v>46027</v>
      </c>
      <c r="B717" t="s">
        <v>19</v>
      </c>
      <c r="C717" t="str">
        <f t="shared" si="33"/>
        <v>3798512613717</v>
      </c>
      <c r="D717" t="str">
        <f t="shared" si="34"/>
        <v>Client717</v>
      </c>
      <c r="E717" t="str">
        <f t="shared" si="35"/>
        <v>BOB717</v>
      </c>
      <c r="F717" t="s">
        <v>24</v>
      </c>
      <c r="G717" s="11" t="s">
        <v>21</v>
      </c>
      <c r="H717" s="11">
        <v>0</v>
      </c>
      <c r="I717" s="11">
        <v>0</v>
      </c>
      <c r="J717" s="11">
        <v>0</v>
      </c>
      <c r="K717" s="11">
        <v>0</v>
      </c>
      <c r="L717" s="11">
        <v>4461700</v>
      </c>
      <c r="M717" s="11">
        <v>4921800</v>
      </c>
      <c r="N717" s="11">
        <v>0</v>
      </c>
    </row>
    <row r="718" spans="1:14" x14ac:dyDescent="0.3">
      <c r="A718" s="10">
        <v>46027</v>
      </c>
      <c r="B718" t="s">
        <v>19</v>
      </c>
      <c r="C718" t="str">
        <f t="shared" si="33"/>
        <v>3798512613718</v>
      </c>
      <c r="D718" t="str">
        <f t="shared" si="34"/>
        <v>Client718</v>
      </c>
      <c r="E718" t="str">
        <f t="shared" si="35"/>
        <v>BOB718</v>
      </c>
      <c r="F718" t="s">
        <v>25</v>
      </c>
      <c r="G718" s="11" t="s">
        <v>21</v>
      </c>
      <c r="H718" s="11">
        <v>0</v>
      </c>
      <c r="I718" s="11">
        <v>0</v>
      </c>
      <c r="J718" s="11">
        <v>1200000</v>
      </c>
      <c r="K718" s="11">
        <v>1200000</v>
      </c>
      <c r="L718" s="11">
        <v>3212600</v>
      </c>
      <c r="M718" s="11">
        <v>3432900</v>
      </c>
      <c r="N718" s="11">
        <v>0</v>
      </c>
    </row>
    <row r="719" spans="1:14" x14ac:dyDescent="0.3">
      <c r="A719" s="10">
        <v>46027</v>
      </c>
      <c r="B719" t="s">
        <v>19</v>
      </c>
      <c r="C719" t="str">
        <f t="shared" si="33"/>
        <v>3798512613719</v>
      </c>
      <c r="D719" t="str">
        <f t="shared" si="34"/>
        <v>Client719</v>
      </c>
      <c r="E719" t="str">
        <f t="shared" si="35"/>
        <v>BOB719</v>
      </c>
      <c r="F719" t="s">
        <v>54</v>
      </c>
      <c r="G719" s="11" t="s">
        <v>54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</row>
    <row r="720" spans="1:14" x14ac:dyDescent="0.3">
      <c r="A720" s="10">
        <v>46027</v>
      </c>
      <c r="B720" t="s">
        <v>19</v>
      </c>
      <c r="C720" t="str">
        <f t="shared" si="33"/>
        <v>3798512613720</v>
      </c>
      <c r="D720" t="str">
        <f t="shared" si="34"/>
        <v>Client720</v>
      </c>
      <c r="E720" t="str">
        <f t="shared" si="35"/>
        <v>BOB720</v>
      </c>
      <c r="G720" s="11"/>
      <c r="H720" s="11">
        <v>0</v>
      </c>
      <c r="I720" s="11">
        <v>0</v>
      </c>
      <c r="J720" s="11">
        <v>0</v>
      </c>
      <c r="K720" s="11">
        <v>0</v>
      </c>
      <c r="L720" s="11">
        <v>12006500</v>
      </c>
      <c r="M720" s="11">
        <v>12120000</v>
      </c>
      <c r="N720" s="11">
        <v>0</v>
      </c>
    </row>
    <row r="721" spans="1:14" x14ac:dyDescent="0.3">
      <c r="A721" s="10">
        <v>46027</v>
      </c>
      <c r="B721" t="s">
        <v>19</v>
      </c>
      <c r="C721" t="str">
        <f t="shared" si="33"/>
        <v>3798512613721</v>
      </c>
      <c r="D721" t="str">
        <f t="shared" si="34"/>
        <v>Client721</v>
      </c>
      <c r="E721" t="str">
        <f t="shared" si="35"/>
        <v>BOB721</v>
      </c>
      <c r="F721" t="s">
        <v>20</v>
      </c>
      <c r="G721" s="11" t="s">
        <v>21</v>
      </c>
      <c r="H721" s="11">
        <v>0</v>
      </c>
      <c r="I721" s="11">
        <v>0</v>
      </c>
      <c r="J721" s="11">
        <v>0</v>
      </c>
      <c r="K721" s="11">
        <v>7200000</v>
      </c>
      <c r="L721" s="11">
        <v>26815300</v>
      </c>
      <c r="M721" s="11">
        <v>27579700</v>
      </c>
      <c r="N721" s="11">
        <v>0</v>
      </c>
    </row>
    <row r="722" spans="1:14" x14ac:dyDescent="0.3">
      <c r="A722" s="10">
        <v>46027</v>
      </c>
      <c r="B722" t="s">
        <v>19</v>
      </c>
      <c r="C722" t="str">
        <f t="shared" si="33"/>
        <v>3798512613722</v>
      </c>
      <c r="D722" t="str">
        <f t="shared" si="34"/>
        <v>Client722</v>
      </c>
      <c r="E722" t="str">
        <f t="shared" si="35"/>
        <v>BOB722</v>
      </c>
      <c r="F722" t="s">
        <v>25</v>
      </c>
      <c r="G722" s="11" t="s">
        <v>21</v>
      </c>
      <c r="H722" s="11">
        <v>0</v>
      </c>
      <c r="I722" s="11">
        <v>0</v>
      </c>
      <c r="J722" s="11">
        <v>0</v>
      </c>
      <c r="K722" s="11">
        <v>0</v>
      </c>
      <c r="L722" s="11">
        <v>2370600</v>
      </c>
      <c r="M722" s="11">
        <v>2465500</v>
      </c>
      <c r="N722" s="11">
        <v>0</v>
      </c>
    </row>
    <row r="723" spans="1:14" x14ac:dyDescent="0.3">
      <c r="A723" s="10">
        <v>46027</v>
      </c>
      <c r="B723" t="s">
        <v>19</v>
      </c>
      <c r="C723" t="str">
        <f t="shared" si="33"/>
        <v>3798512613723</v>
      </c>
      <c r="D723" t="str">
        <f t="shared" si="34"/>
        <v>Client723</v>
      </c>
      <c r="E723" t="str">
        <f t="shared" si="35"/>
        <v>BOB723</v>
      </c>
      <c r="F723" t="s">
        <v>25</v>
      </c>
      <c r="G723" s="11" t="s">
        <v>21</v>
      </c>
      <c r="H723" s="11">
        <v>0</v>
      </c>
      <c r="I723" s="11">
        <v>0</v>
      </c>
      <c r="J723" s="11">
        <v>7500000</v>
      </c>
      <c r="K723" s="11">
        <v>2010000</v>
      </c>
      <c r="L723" s="11">
        <v>35842400</v>
      </c>
      <c r="M723" s="11">
        <v>12606800</v>
      </c>
      <c r="N723" s="11">
        <v>17250000</v>
      </c>
    </row>
    <row r="724" spans="1:14" x14ac:dyDescent="0.3">
      <c r="A724" s="10">
        <v>46027</v>
      </c>
      <c r="B724" t="s">
        <v>19</v>
      </c>
      <c r="C724" t="str">
        <f t="shared" si="33"/>
        <v>3798512613724</v>
      </c>
      <c r="D724" t="str">
        <f t="shared" si="34"/>
        <v>Client724</v>
      </c>
      <c r="E724" t="str">
        <f t="shared" si="35"/>
        <v>BOB724</v>
      </c>
      <c r="G724" s="11"/>
      <c r="H724" s="11">
        <v>0</v>
      </c>
      <c r="I724" s="11">
        <v>0</v>
      </c>
      <c r="J724" s="11">
        <v>700000</v>
      </c>
      <c r="K724" s="11">
        <v>1200000</v>
      </c>
      <c r="L724" s="11">
        <v>5104600</v>
      </c>
      <c r="M724" s="11">
        <v>5466500</v>
      </c>
      <c r="N724" s="11">
        <v>0</v>
      </c>
    </row>
    <row r="725" spans="1:14" x14ac:dyDescent="0.3">
      <c r="A725" s="10">
        <v>46027</v>
      </c>
      <c r="B725" t="s">
        <v>19</v>
      </c>
      <c r="C725" t="str">
        <f t="shared" si="33"/>
        <v>3798512613725</v>
      </c>
      <c r="D725" t="str">
        <f t="shared" si="34"/>
        <v>Client725</v>
      </c>
      <c r="E725" t="str">
        <f t="shared" si="35"/>
        <v>BOB725</v>
      </c>
      <c r="F725" t="s">
        <v>24</v>
      </c>
      <c r="G725" s="11" t="s">
        <v>21</v>
      </c>
      <c r="H725" s="11">
        <v>0</v>
      </c>
      <c r="I725" s="11">
        <v>0</v>
      </c>
      <c r="J725" s="11">
        <v>0</v>
      </c>
      <c r="K725" s="11">
        <v>630000</v>
      </c>
      <c r="L725" s="11">
        <v>8237900</v>
      </c>
      <c r="M725" s="11">
        <v>7328800</v>
      </c>
      <c r="N725" s="11">
        <v>0</v>
      </c>
    </row>
    <row r="726" spans="1:14" x14ac:dyDescent="0.3">
      <c r="A726" s="10">
        <v>46027</v>
      </c>
      <c r="B726" t="s">
        <v>19</v>
      </c>
      <c r="C726" t="str">
        <f t="shared" si="33"/>
        <v>3798512613726</v>
      </c>
      <c r="D726" t="str">
        <f t="shared" si="34"/>
        <v>Client726</v>
      </c>
      <c r="E726" t="str">
        <f t="shared" si="35"/>
        <v>BOB726</v>
      </c>
      <c r="F726" t="s">
        <v>22</v>
      </c>
      <c r="G726" s="11" t="s">
        <v>56</v>
      </c>
      <c r="H726" s="11">
        <v>0</v>
      </c>
      <c r="I726" s="11">
        <v>0</v>
      </c>
      <c r="J726" s="11">
        <v>0</v>
      </c>
      <c r="K726" s="11">
        <v>0</v>
      </c>
      <c r="L726" s="11">
        <v>13012500</v>
      </c>
      <c r="M726" s="11">
        <v>9555000</v>
      </c>
      <c r="N726" s="11">
        <v>0</v>
      </c>
    </row>
    <row r="727" spans="1:14" x14ac:dyDescent="0.3">
      <c r="A727" s="10">
        <v>46027</v>
      </c>
      <c r="B727" t="s">
        <v>19</v>
      </c>
      <c r="C727" t="str">
        <f t="shared" si="33"/>
        <v>3798512613727</v>
      </c>
      <c r="D727" t="str">
        <f t="shared" si="34"/>
        <v>Client727</v>
      </c>
      <c r="E727" t="str">
        <f t="shared" si="35"/>
        <v>BOB727</v>
      </c>
      <c r="F727" t="s">
        <v>26</v>
      </c>
      <c r="G727" s="11" t="s">
        <v>65</v>
      </c>
      <c r="H727" s="11">
        <v>0</v>
      </c>
      <c r="I727" s="11">
        <v>0</v>
      </c>
      <c r="J727" s="11">
        <v>0</v>
      </c>
      <c r="K727" s="11">
        <v>1003000</v>
      </c>
      <c r="L727" s="11">
        <v>6829300</v>
      </c>
      <c r="M727" s="11">
        <v>9752100</v>
      </c>
      <c r="N727" s="11">
        <v>0</v>
      </c>
    </row>
    <row r="728" spans="1:14" x14ac:dyDescent="0.3">
      <c r="A728" s="10">
        <v>46027</v>
      </c>
      <c r="B728" t="s">
        <v>19</v>
      </c>
      <c r="C728" t="str">
        <f t="shared" si="33"/>
        <v>3798512613728</v>
      </c>
      <c r="D728" t="str">
        <f t="shared" si="34"/>
        <v>Client728</v>
      </c>
      <c r="E728" t="str">
        <f t="shared" si="35"/>
        <v>BOB728</v>
      </c>
      <c r="G728" s="11"/>
      <c r="H728" s="11">
        <v>0</v>
      </c>
      <c r="I728" s="11">
        <v>3300000</v>
      </c>
      <c r="J728" s="11">
        <v>5400000</v>
      </c>
      <c r="K728" s="11">
        <v>0</v>
      </c>
      <c r="L728" s="11">
        <v>14844800</v>
      </c>
      <c r="M728" s="11">
        <v>12648300</v>
      </c>
      <c r="N728" s="11">
        <v>0</v>
      </c>
    </row>
    <row r="729" spans="1:14" x14ac:dyDescent="0.3">
      <c r="A729" s="10">
        <v>46027</v>
      </c>
      <c r="B729" t="s">
        <v>19</v>
      </c>
      <c r="C729" t="str">
        <f t="shared" si="33"/>
        <v>3798512613729</v>
      </c>
      <c r="D729" t="str">
        <f t="shared" si="34"/>
        <v>Client729</v>
      </c>
      <c r="E729" t="str">
        <f t="shared" si="35"/>
        <v>BOB729</v>
      </c>
      <c r="F729" t="s">
        <v>25</v>
      </c>
      <c r="G729" s="11" t="s">
        <v>21</v>
      </c>
      <c r="H729" s="11">
        <v>0</v>
      </c>
      <c r="I729" s="11">
        <v>0</v>
      </c>
      <c r="J729" s="11">
        <v>505300</v>
      </c>
      <c r="K729" s="11">
        <v>3400000</v>
      </c>
      <c r="L729" s="11">
        <v>5049200</v>
      </c>
      <c r="M729" s="11">
        <v>8531500</v>
      </c>
      <c r="N729" s="11">
        <v>0</v>
      </c>
    </row>
    <row r="730" spans="1:14" x14ac:dyDescent="0.3">
      <c r="A730" s="10">
        <v>46027</v>
      </c>
      <c r="B730" t="s">
        <v>19</v>
      </c>
      <c r="C730" t="str">
        <f t="shared" si="33"/>
        <v>3798512613730</v>
      </c>
      <c r="D730" t="str">
        <f t="shared" si="34"/>
        <v>Client730</v>
      </c>
      <c r="E730" t="str">
        <f t="shared" si="35"/>
        <v>BOB730</v>
      </c>
      <c r="F730" t="s">
        <v>22</v>
      </c>
      <c r="G730" s="11" t="s">
        <v>23</v>
      </c>
      <c r="H730" s="11">
        <v>0</v>
      </c>
      <c r="I730" s="11">
        <v>0</v>
      </c>
      <c r="J730" s="11">
        <v>0</v>
      </c>
      <c r="K730" s="11">
        <v>0</v>
      </c>
      <c r="L730" s="11">
        <v>2846500</v>
      </c>
      <c r="M730" s="11">
        <v>2704000</v>
      </c>
      <c r="N730" s="11">
        <v>0</v>
      </c>
    </row>
    <row r="731" spans="1:14" x14ac:dyDescent="0.3">
      <c r="A731" s="10">
        <v>46027</v>
      </c>
      <c r="B731" t="s">
        <v>19</v>
      </c>
      <c r="C731" t="str">
        <f t="shared" si="33"/>
        <v>3798512613731</v>
      </c>
      <c r="D731" t="str">
        <f t="shared" si="34"/>
        <v>Client731</v>
      </c>
      <c r="E731" t="str">
        <f t="shared" si="35"/>
        <v>BOB731</v>
      </c>
      <c r="F731" t="s">
        <v>24</v>
      </c>
      <c r="G731" s="11" t="s">
        <v>21</v>
      </c>
      <c r="H731" s="11">
        <v>0</v>
      </c>
      <c r="I731" s="11">
        <v>0</v>
      </c>
      <c r="J731" s="11">
        <v>0</v>
      </c>
      <c r="K731" s="11">
        <v>0</v>
      </c>
      <c r="L731" s="11">
        <v>3298800</v>
      </c>
      <c r="M731" s="11">
        <v>4609200</v>
      </c>
      <c r="N731" s="11">
        <v>0</v>
      </c>
    </row>
    <row r="732" spans="1:14" x14ac:dyDescent="0.3">
      <c r="A732" s="10">
        <v>46027</v>
      </c>
      <c r="B732" t="s">
        <v>19</v>
      </c>
      <c r="C732" t="str">
        <f t="shared" si="33"/>
        <v>3798512613732</v>
      </c>
      <c r="D732" t="str">
        <f t="shared" si="34"/>
        <v>Client732</v>
      </c>
      <c r="E732" t="str">
        <f t="shared" si="35"/>
        <v>BOB732</v>
      </c>
      <c r="F732" t="s">
        <v>20</v>
      </c>
      <c r="G732" s="11" t="s">
        <v>21</v>
      </c>
      <c r="H732" s="11">
        <v>0</v>
      </c>
      <c r="I732" s="11">
        <v>0</v>
      </c>
      <c r="J732" s="11">
        <v>0</v>
      </c>
      <c r="K732" s="11">
        <v>1000000</v>
      </c>
      <c r="L732" s="11">
        <v>12799700</v>
      </c>
      <c r="M732" s="11">
        <v>15109600</v>
      </c>
      <c r="N732" s="11">
        <v>0</v>
      </c>
    </row>
    <row r="733" spans="1:14" x14ac:dyDescent="0.3">
      <c r="A733" s="10">
        <v>46027</v>
      </c>
      <c r="B733" t="s">
        <v>19</v>
      </c>
      <c r="C733" t="str">
        <f t="shared" si="33"/>
        <v>3798512613733</v>
      </c>
      <c r="D733" t="str">
        <f t="shared" si="34"/>
        <v>Client733</v>
      </c>
      <c r="E733" t="str">
        <f t="shared" si="35"/>
        <v>BOB733</v>
      </c>
      <c r="F733" t="s">
        <v>42</v>
      </c>
      <c r="G733" s="11" t="s">
        <v>21</v>
      </c>
      <c r="H733" s="11">
        <v>0</v>
      </c>
      <c r="I733" s="11">
        <v>0</v>
      </c>
      <c r="J733" s="11">
        <v>0</v>
      </c>
      <c r="K733" s="11">
        <v>0</v>
      </c>
      <c r="L733" s="11">
        <v>31000</v>
      </c>
      <c r="M733" s="11">
        <v>500000</v>
      </c>
      <c r="N733" s="11">
        <v>0</v>
      </c>
    </row>
    <row r="734" spans="1:14" x14ac:dyDescent="0.3">
      <c r="A734" s="10">
        <v>46027</v>
      </c>
      <c r="B734" t="s">
        <v>19</v>
      </c>
      <c r="C734" t="str">
        <f t="shared" si="33"/>
        <v>3798512613734</v>
      </c>
      <c r="D734" t="str">
        <f t="shared" si="34"/>
        <v>Client734</v>
      </c>
      <c r="E734" t="str">
        <f t="shared" si="35"/>
        <v>BOB734</v>
      </c>
      <c r="F734" t="s">
        <v>24</v>
      </c>
      <c r="G734" s="11" t="s">
        <v>21</v>
      </c>
      <c r="H734" s="11">
        <v>0</v>
      </c>
      <c r="I734" s="11">
        <v>0</v>
      </c>
      <c r="J734" s="11">
        <v>0</v>
      </c>
      <c r="K734" s="11">
        <v>0</v>
      </c>
      <c r="L734" s="11">
        <v>435000</v>
      </c>
      <c r="M734" s="11">
        <v>1480000</v>
      </c>
      <c r="N734" s="11">
        <v>0</v>
      </c>
    </row>
    <row r="735" spans="1:14" x14ac:dyDescent="0.3">
      <c r="A735" s="10">
        <v>46027</v>
      </c>
      <c r="B735" t="s">
        <v>19</v>
      </c>
      <c r="C735" t="str">
        <f t="shared" si="33"/>
        <v>3798512613735</v>
      </c>
      <c r="D735" t="str">
        <f t="shared" si="34"/>
        <v>Client735</v>
      </c>
      <c r="E735" t="str">
        <f t="shared" si="35"/>
        <v>BOB735</v>
      </c>
      <c r="F735" t="s">
        <v>26</v>
      </c>
      <c r="G735" s="11" t="s">
        <v>75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10000</v>
      </c>
      <c r="N735" s="11">
        <v>0</v>
      </c>
    </row>
    <row r="736" spans="1:14" x14ac:dyDescent="0.3">
      <c r="A736" s="10">
        <v>46027</v>
      </c>
      <c r="B736" t="s">
        <v>19</v>
      </c>
      <c r="C736" t="str">
        <f t="shared" si="33"/>
        <v>3798512613736</v>
      </c>
      <c r="D736" t="str">
        <f t="shared" si="34"/>
        <v>Client736</v>
      </c>
      <c r="E736" t="str">
        <f t="shared" si="35"/>
        <v>BOB736</v>
      </c>
      <c r="F736" t="s">
        <v>26</v>
      </c>
      <c r="G736" s="11" t="s">
        <v>21</v>
      </c>
      <c r="H736" s="11">
        <v>1800000</v>
      </c>
      <c r="I736" s="11">
        <v>0</v>
      </c>
      <c r="J736" s="11">
        <v>0</v>
      </c>
      <c r="K736" s="11">
        <v>0</v>
      </c>
      <c r="L736" s="11">
        <v>9607200</v>
      </c>
      <c r="M736" s="11">
        <v>6681500</v>
      </c>
      <c r="N736" s="11">
        <v>0</v>
      </c>
    </row>
    <row r="737" spans="1:14" x14ac:dyDescent="0.3">
      <c r="A737" s="10">
        <v>46027</v>
      </c>
      <c r="B737" t="s">
        <v>19</v>
      </c>
      <c r="C737" t="str">
        <f t="shared" si="33"/>
        <v>3798512613737</v>
      </c>
      <c r="D737" t="str">
        <f t="shared" si="34"/>
        <v>Client737</v>
      </c>
      <c r="E737" t="str">
        <f t="shared" si="35"/>
        <v>BOB737</v>
      </c>
      <c r="F737" t="s">
        <v>22</v>
      </c>
      <c r="G737" s="11" t="s">
        <v>23</v>
      </c>
      <c r="H737" s="11">
        <v>0</v>
      </c>
      <c r="I737" s="11">
        <v>0</v>
      </c>
      <c r="J737" s="11">
        <v>0</v>
      </c>
      <c r="K737" s="11">
        <v>1000000</v>
      </c>
      <c r="L737" s="11">
        <v>24277900</v>
      </c>
      <c r="M737" s="11">
        <v>24975900</v>
      </c>
      <c r="N737" s="11">
        <v>0</v>
      </c>
    </row>
    <row r="738" spans="1:14" x14ac:dyDescent="0.3">
      <c r="A738" s="10">
        <v>46027</v>
      </c>
      <c r="B738" t="s">
        <v>19</v>
      </c>
      <c r="C738" t="str">
        <f t="shared" si="33"/>
        <v>3798512613738</v>
      </c>
      <c r="D738" t="str">
        <f t="shared" si="34"/>
        <v>Client738</v>
      </c>
      <c r="E738" t="str">
        <f t="shared" si="35"/>
        <v>BOB738</v>
      </c>
      <c r="F738" t="s">
        <v>26</v>
      </c>
      <c r="G738" s="11" t="s">
        <v>65</v>
      </c>
      <c r="H738" s="11">
        <v>0</v>
      </c>
      <c r="I738" s="11">
        <v>0</v>
      </c>
      <c r="J738" s="11">
        <v>0</v>
      </c>
      <c r="K738" s="11">
        <v>0</v>
      </c>
      <c r="L738" s="11">
        <v>114200</v>
      </c>
      <c r="M738" s="11">
        <v>168300</v>
      </c>
      <c r="N738" s="11">
        <v>0</v>
      </c>
    </row>
    <row r="739" spans="1:14" x14ac:dyDescent="0.3">
      <c r="A739" s="10">
        <v>46027</v>
      </c>
      <c r="B739" t="s">
        <v>19</v>
      </c>
      <c r="C739" t="str">
        <f t="shared" si="33"/>
        <v>3798512613739</v>
      </c>
      <c r="D739" t="str">
        <f t="shared" si="34"/>
        <v>Client739</v>
      </c>
      <c r="E739" t="str">
        <f t="shared" si="35"/>
        <v>BOB739</v>
      </c>
      <c r="F739" t="s">
        <v>24</v>
      </c>
      <c r="G739" s="11" t="s">
        <v>76</v>
      </c>
      <c r="H739" s="11">
        <v>0</v>
      </c>
      <c r="I739" s="11">
        <v>0</v>
      </c>
      <c r="J739" s="11">
        <v>0</v>
      </c>
      <c r="K739" s="11">
        <v>0</v>
      </c>
      <c r="L739" s="11">
        <v>1398300</v>
      </c>
      <c r="M739" s="11">
        <v>1474400</v>
      </c>
      <c r="N739" s="11">
        <v>0</v>
      </c>
    </row>
    <row r="740" spans="1:14" x14ac:dyDescent="0.3">
      <c r="A740" s="10">
        <v>46027</v>
      </c>
      <c r="B740" t="s">
        <v>19</v>
      </c>
      <c r="C740" t="str">
        <f t="shared" si="33"/>
        <v>3798512613740</v>
      </c>
      <c r="D740" t="str">
        <f t="shared" si="34"/>
        <v>Client740</v>
      </c>
      <c r="E740" t="str">
        <f t="shared" si="35"/>
        <v>BOB740</v>
      </c>
      <c r="G740" s="11"/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</row>
    <row r="741" spans="1:14" x14ac:dyDescent="0.3">
      <c r="A741" s="10">
        <v>46027</v>
      </c>
      <c r="B741" t="s">
        <v>19</v>
      </c>
      <c r="C741" t="str">
        <f t="shared" si="33"/>
        <v>3798512613741</v>
      </c>
      <c r="D741" t="str">
        <f t="shared" si="34"/>
        <v>Client741</v>
      </c>
      <c r="E741" t="str">
        <f t="shared" si="35"/>
        <v>BOB741</v>
      </c>
      <c r="F741" t="s">
        <v>57</v>
      </c>
      <c r="G741" s="11" t="s">
        <v>77</v>
      </c>
      <c r="H741" s="11">
        <v>0</v>
      </c>
      <c r="I741" s="11">
        <v>0</v>
      </c>
      <c r="J741" s="11">
        <v>0</v>
      </c>
      <c r="K741" s="11">
        <v>0</v>
      </c>
      <c r="L741" s="11">
        <v>6332300</v>
      </c>
      <c r="M741" s="11">
        <v>7560500</v>
      </c>
      <c r="N741" s="11">
        <v>0</v>
      </c>
    </row>
    <row r="742" spans="1:14" x14ac:dyDescent="0.3">
      <c r="A742" s="10">
        <v>46027</v>
      </c>
      <c r="B742" t="s">
        <v>19</v>
      </c>
      <c r="C742" t="str">
        <f t="shared" si="33"/>
        <v>3798512613742</v>
      </c>
      <c r="D742" t="str">
        <f t="shared" si="34"/>
        <v>Client742</v>
      </c>
      <c r="E742" t="str">
        <f t="shared" si="35"/>
        <v>BOB742</v>
      </c>
      <c r="F742" t="s">
        <v>24</v>
      </c>
      <c r="G742" s="11" t="s">
        <v>21</v>
      </c>
      <c r="H742" s="11">
        <v>0</v>
      </c>
      <c r="I742" s="11">
        <v>0</v>
      </c>
      <c r="J742" s="11">
        <v>0</v>
      </c>
      <c r="K742" s="11">
        <v>0</v>
      </c>
      <c r="L742" s="11">
        <v>1911900</v>
      </c>
      <c r="M742" s="11">
        <v>1621500</v>
      </c>
      <c r="N742" s="11">
        <v>0</v>
      </c>
    </row>
    <row r="743" spans="1:14" x14ac:dyDescent="0.3">
      <c r="A743" s="10">
        <v>46027</v>
      </c>
      <c r="B743" t="s">
        <v>19</v>
      </c>
      <c r="C743" t="str">
        <f t="shared" si="33"/>
        <v>3798512613743</v>
      </c>
      <c r="D743" t="str">
        <f t="shared" si="34"/>
        <v>Client743</v>
      </c>
      <c r="E743" t="str">
        <f t="shared" si="35"/>
        <v>BOB743</v>
      </c>
      <c r="F743" t="s">
        <v>22</v>
      </c>
      <c r="G743" s="11" t="s">
        <v>23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</row>
    <row r="744" spans="1:14" x14ac:dyDescent="0.3">
      <c r="A744" s="10">
        <v>46027</v>
      </c>
      <c r="B744" t="s">
        <v>19</v>
      </c>
      <c r="C744" t="str">
        <f t="shared" si="33"/>
        <v>3798512613744</v>
      </c>
      <c r="D744" t="str">
        <f t="shared" si="34"/>
        <v>Client744</v>
      </c>
      <c r="E744" t="str">
        <f t="shared" si="35"/>
        <v>BOB744</v>
      </c>
      <c r="F744" t="s">
        <v>26</v>
      </c>
      <c r="G744" s="11" t="s">
        <v>47</v>
      </c>
      <c r="H744" s="11">
        <v>0</v>
      </c>
      <c r="I744" s="11">
        <v>0</v>
      </c>
      <c r="J744" s="11">
        <v>0</v>
      </c>
      <c r="K744" s="11">
        <v>0</v>
      </c>
      <c r="L744" s="11">
        <v>317300</v>
      </c>
      <c r="M744" s="11">
        <v>296700</v>
      </c>
      <c r="N744" s="11">
        <v>0</v>
      </c>
    </row>
    <row r="745" spans="1:14" x14ac:dyDescent="0.3">
      <c r="A745" s="10">
        <v>46027</v>
      </c>
      <c r="B745" t="s">
        <v>19</v>
      </c>
      <c r="C745" t="str">
        <f t="shared" si="33"/>
        <v>3798512613745</v>
      </c>
      <c r="D745" t="str">
        <f t="shared" si="34"/>
        <v>Client745</v>
      </c>
      <c r="E745" t="str">
        <f t="shared" si="35"/>
        <v>BOB745</v>
      </c>
      <c r="F745" t="s">
        <v>26</v>
      </c>
      <c r="G745" s="11" t="s">
        <v>75</v>
      </c>
      <c r="H745" s="11">
        <v>0</v>
      </c>
      <c r="I745" s="11">
        <v>0</v>
      </c>
      <c r="J745" s="11">
        <v>1000000</v>
      </c>
      <c r="K745" s="11">
        <v>3000000</v>
      </c>
      <c r="L745" s="11">
        <v>5689000</v>
      </c>
      <c r="M745" s="11">
        <v>11384500</v>
      </c>
      <c r="N745" s="11">
        <v>0</v>
      </c>
    </row>
    <row r="746" spans="1:14" x14ac:dyDescent="0.3">
      <c r="A746" s="10">
        <v>46027</v>
      </c>
      <c r="B746" t="s">
        <v>19</v>
      </c>
      <c r="C746" t="str">
        <f t="shared" si="33"/>
        <v>3798512613746</v>
      </c>
      <c r="D746" t="str">
        <f t="shared" si="34"/>
        <v>Client746</v>
      </c>
      <c r="E746" t="str">
        <f t="shared" si="35"/>
        <v>BOB746</v>
      </c>
      <c r="G746" s="11"/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x14ac:dyDescent="0.3">
      <c r="A747" s="10">
        <v>46027</v>
      </c>
      <c r="B747" t="s">
        <v>19</v>
      </c>
      <c r="C747" t="str">
        <f t="shared" si="33"/>
        <v>3798512613747</v>
      </c>
      <c r="D747" t="str">
        <f t="shared" si="34"/>
        <v>Client747</v>
      </c>
      <c r="E747" t="str">
        <f t="shared" si="35"/>
        <v>BOB747</v>
      </c>
      <c r="F747" t="s">
        <v>20</v>
      </c>
      <c r="G747" s="11" t="s">
        <v>21</v>
      </c>
      <c r="H747" s="11">
        <v>0</v>
      </c>
      <c r="I747" s="11">
        <v>0</v>
      </c>
      <c r="J747" s="11">
        <v>0</v>
      </c>
      <c r="K747" s="11">
        <v>0</v>
      </c>
      <c r="L747" s="11">
        <v>3916200</v>
      </c>
      <c r="M747" s="11">
        <v>3822300</v>
      </c>
      <c r="N747" s="11">
        <v>0</v>
      </c>
    </row>
    <row r="748" spans="1:14" x14ac:dyDescent="0.3">
      <c r="A748" s="10">
        <v>46027</v>
      </c>
      <c r="B748" t="s">
        <v>19</v>
      </c>
      <c r="C748" t="str">
        <f t="shared" si="33"/>
        <v>3798512613748</v>
      </c>
      <c r="D748" t="str">
        <f t="shared" si="34"/>
        <v>Client748</v>
      </c>
      <c r="E748" t="str">
        <f t="shared" si="35"/>
        <v>BOB748</v>
      </c>
      <c r="F748" t="s">
        <v>20</v>
      </c>
      <c r="G748" s="11" t="s">
        <v>21</v>
      </c>
      <c r="H748" s="11">
        <v>0</v>
      </c>
      <c r="I748" s="11">
        <v>0</v>
      </c>
      <c r="J748" s="11">
        <v>0</v>
      </c>
      <c r="K748" s="11">
        <v>0</v>
      </c>
      <c r="L748" s="11">
        <v>45000</v>
      </c>
      <c r="M748" s="11">
        <v>5000</v>
      </c>
      <c r="N748" s="11">
        <v>0</v>
      </c>
    </row>
    <row r="749" spans="1:14" x14ac:dyDescent="0.3">
      <c r="A749" s="10">
        <v>46027</v>
      </c>
      <c r="B749" t="s">
        <v>19</v>
      </c>
      <c r="C749" t="str">
        <f t="shared" si="33"/>
        <v>3798512613749</v>
      </c>
      <c r="D749" t="str">
        <f t="shared" si="34"/>
        <v>Client749</v>
      </c>
      <c r="E749" t="str">
        <f t="shared" si="35"/>
        <v>BOB749</v>
      </c>
      <c r="F749" t="s">
        <v>26</v>
      </c>
      <c r="G749" s="11" t="s">
        <v>46</v>
      </c>
      <c r="H749" s="11">
        <v>0</v>
      </c>
      <c r="I749" s="11">
        <v>0</v>
      </c>
      <c r="J749" s="11">
        <v>0</v>
      </c>
      <c r="K749" s="11">
        <v>0</v>
      </c>
      <c r="L749" s="11">
        <v>199200</v>
      </c>
      <c r="M749" s="11">
        <v>356100</v>
      </c>
      <c r="N749" s="11">
        <v>0</v>
      </c>
    </row>
    <row r="750" spans="1:14" x14ac:dyDescent="0.3">
      <c r="A750" s="10">
        <v>46027</v>
      </c>
      <c r="B750" t="s">
        <v>19</v>
      </c>
      <c r="C750" t="str">
        <f t="shared" si="33"/>
        <v>3798512613750</v>
      </c>
      <c r="D750" t="str">
        <f t="shared" si="34"/>
        <v>Client750</v>
      </c>
      <c r="E750" t="str">
        <f t="shared" si="35"/>
        <v>BOB750</v>
      </c>
      <c r="G750" s="11"/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x14ac:dyDescent="0.3">
      <c r="A751" s="10">
        <v>46027</v>
      </c>
      <c r="B751" t="s">
        <v>19</v>
      </c>
      <c r="C751" t="str">
        <f t="shared" si="33"/>
        <v>3798512613751</v>
      </c>
      <c r="D751" t="str">
        <f t="shared" si="34"/>
        <v>Client751</v>
      </c>
      <c r="E751" t="str">
        <f t="shared" si="35"/>
        <v>BOB751</v>
      </c>
      <c r="G751" s="11"/>
      <c r="H751" s="11">
        <v>0</v>
      </c>
      <c r="I751" s="11">
        <v>0</v>
      </c>
      <c r="J751" s="11">
        <v>0</v>
      </c>
      <c r="K751" s="11">
        <v>0</v>
      </c>
      <c r="L751" s="11">
        <v>3718900</v>
      </c>
      <c r="M751" s="11">
        <v>2977500</v>
      </c>
      <c r="N751" s="11">
        <v>0</v>
      </c>
    </row>
    <row r="752" spans="1:14" x14ac:dyDescent="0.3">
      <c r="A752" s="10">
        <v>46027</v>
      </c>
      <c r="B752" t="s">
        <v>19</v>
      </c>
      <c r="C752" t="str">
        <f t="shared" si="33"/>
        <v>3798512613752</v>
      </c>
      <c r="D752" t="str">
        <f t="shared" si="34"/>
        <v>Client752</v>
      </c>
      <c r="E752" t="str">
        <f t="shared" si="35"/>
        <v>BOB752</v>
      </c>
      <c r="F752" t="s">
        <v>24</v>
      </c>
      <c r="G752" s="11" t="s">
        <v>21</v>
      </c>
      <c r="H752" s="11">
        <v>0</v>
      </c>
      <c r="I752" s="11">
        <v>0</v>
      </c>
      <c r="J752" s="11">
        <v>0</v>
      </c>
      <c r="K752" s="11">
        <v>0</v>
      </c>
      <c r="L752" s="11">
        <v>581000</v>
      </c>
      <c r="M752" s="11">
        <v>626600</v>
      </c>
      <c r="N752" s="11">
        <v>0</v>
      </c>
    </row>
    <row r="753" spans="1:14" x14ac:dyDescent="0.3">
      <c r="A753" s="10">
        <v>46027</v>
      </c>
      <c r="B753" t="s">
        <v>19</v>
      </c>
      <c r="C753" t="str">
        <f t="shared" si="33"/>
        <v>3798512613753</v>
      </c>
      <c r="D753" t="str">
        <f t="shared" si="34"/>
        <v>Client753</v>
      </c>
      <c r="E753" t="str">
        <f t="shared" si="35"/>
        <v>BOB753</v>
      </c>
      <c r="F753" t="s">
        <v>20</v>
      </c>
      <c r="G753" s="11" t="s">
        <v>21</v>
      </c>
      <c r="H753" s="11">
        <v>0</v>
      </c>
      <c r="I753" s="11">
        <v>0</v>
      </c>
      <c r="J753" s="11">
        <v>0</v>
      </c>
      <c r="K753" s="11">
        <v>0</v>
      </c>
      <c r="L753" s="11">
        <v>13339000</v>
      </c>
      <c r="M753" s="11">
        <v>15244200</v>
      </c>
      <c r="N753" s="11">
        <v>0</v>
      </c>
    </row>
    <row r="754" spans="1:14" x14ac:dyDescent="0.3">
      <c r="A754" s="10">
        <v>46027</v>
      </c>
      <c r="B754" t="s">
        <v>19</v>
      </c>
      <c r="C754" t="str">
        <f t="shared" si="33"/>
        <v>3798512613754</v>
      </c>
      <c r="D754" t="str">
        <f t="shared" si="34"/>
        <v>Client754</v>
      </c>
      <c r="E754" t="str">
        <f t="shared" si="35"/>
        <v>BOB754</v>
      </c>
      <c r="F754" t="s">
        <v>25</v>
      </c>
      <c r="G754" s="11" t="s">
        <v>21</v>
      </c>
      <c r="H754" s="11">
        <v>0</v>
      </c>
      <c r="I754" s="11">
        <v>0</v>
      </c>
      <c r="J754" s="11">
        <v>0</v>
      </c>
      <c r="K754" s="11">
        <v>2000000</v>
      </c>
      <c r="L754" s="11">
        <v>25694000</v>
      </c>
      <c r="M754" s="11">
        <v>25449200</v>
      </c>
      <c r="N754" s="11">
        <v>0</v>
      </c>
    </row>
    <row r="755" spans="1:14" x14ac:dyDescent="0.3">
      <c r="A755" s="10">
        <v>46027</v>
      </c>
      <c r="B755" t="s">
        <v>19</v>
      </c>
      <c r="C755" t="str">
        <f t="shared" si="33"/>
        <v>3798512613755</v>
      </c>
      <c r="D755" t="str">
        <f t="shared" si="34"/>
        <v>Client755</v>
      </c>
      <c r="E755" t="str">
        <f t="shared" si="35"/>
        <v>BOB755</v>
      </c>
      <c r="F755" t="s">
        <v>22</v>
      </c>
      <c r="G755" s="11" t="s">
        <v>23</v>
      </c>
      <c r="H755" s="11">
        <v>0</v>
      </c>
      <c r="I755" s="11">
        <v>0</v>
      </c>
      <c r="J755" s="11">
        <v>0</v>
      </c>
      <c r="K755" s="11">
        <v>3543340</v>
      </c>
      <c r="L755" s="11">
        <v>439600</v>
      </c>
      <c r="M755" s="11">
        <v>4721900</v>
      </c>
      <c r="N755" s="11">
        <v>0</v>
      </c>
    </row>
    <row r="756" spans="1:14" x14ac:dyDescent="0.3">
      <c r="A756" s="10">
        <v>46027</v>
      </c>
      <c r="B756" t="s">
        <v>19</v>
      </c>
      <c r="C756" t="str">
        <f t="shared" si="33"/>
        <v>3798512613756</v>
      </c>
      <c r="D756" t="str">
        <f t="shared" si="34"/>
        <v>Client756</v>
      </c>
      <c r="E756" t="str">
        <f t="shared" si="35"/>
        <v>BOB756</v>
      </c>
      <c r="F756" t="s">
        <v>22</v>
      </c>
      <c r="G756" s="11" t="s">
        <v>23</v>
      </c>
      <c r="H756" s="11">
        <v>0</v>
      </c>
      <c r="I756" s="11">
        <v>0</v>
      </c>
      <c r="J756" s="11">
        <v>0</v>
      </c>
      <c r="K756" s="11">
        <v>0</v>
      </c>
      <c r="L756" s="11">
        <v>2316400</v>
      </c>
      <c r="M756" s="11">
        <v>3148900</v>
      </c>
      <c r="N756" s="11">
        <v>0</v>
      </c>
    </row>
    <row r="757" spans="1:14" x14ac:dyDescent="0.3">
      <c r="A757" s="10">
        <v>46027</v>
      </c>
      <c r="B757" t="s">
        <v>19</v>
      </c>
      <c r="C757" t="str">
        <f t="shared" si="33"/>
        <v>3798512613757</v>
      </c>
      <c r="D757" t="str">
        <f t="shared" si="34"/>
        <v>Client757</v>
      </c>
      <c r="E757" t="str">
        <f t="shared" si="35"/>
        <v>BOB757</v>
      </c>
      <c r="F757" t="s">
        <v>25</v>
      </c>
      <c r="G757" s="11" t="s">
        <v>21</v>
      </c>
      <c r="H757" s="11">
        <v>0</v>
      </c>
      <c r="I757" s="11">
        <v>301500</v>
      </c>
      <c r="J757" s="11">
        <v>0</v>
      </c>
      <c r="K757" s="11">
        <v>0</v>
      </c>
      <c r="L757" s="11">
        <v>2078200</v>
      </c>
      <c r="M757" s="11">
        <v>4236500</v>
      </c>
      <c r="N757" s="11">
        <v>0</v>
      </c>
    </row>
    <row r="758" spans="1:14" x14ac:dyDescent="0.3">
      <c r="A758" s="10">
        <v>46027</v>
      </c>
      <c r="B758" t="s">
        <v>19</v>
      </c>
      <c r="C758" t="str">
        <f t="shared" si="33"/>
        <v>3798512613758</v>
      </c>
      <c r="D758" t="str">
        <f t="shared" si="34"/>
        <v>Client758</v>
      </c>
      <c r="E758" t="str">
        <f t="shared" si="35"/>
        <v>BOB758</v>
      </c>
      <c r="G758" s="11"/>
      <c r="H758" s="11">
        <v>0</v>
      </c>
      <c r="I758" s="11">
        <v>0</v>
      </c>
      <c r="J758" s="11">
        <v>0</v>
      </c>
      <c r="K758" s="11">
        <v>0</v>
      </c>
      <c r="L758" s="11">
        <v>32400</v>
      </c>
      <c r="M758" s="11">
        <v>86000</v>
      </c>
      <c r="N758" s="11">
        <v>0</v>
      </c>
    </row>
    <row r="759" spans="1:14" x14ac:dyDescent="0.3">
      <c r="A759" s="10">
        <v>46027</v>
      </c>
      <c r="B759" t="s">
        <v>19</v>
      </c>
      <c r="C759" t="str">
        <f t="shared" si="33"/>
        <v>3798512613759</v>
      </c>
      <c r="D759" t="str">
        <f t="shared" si="34"/>
        <v>Client759</v>
      </c>
      <c r="E759" t="str">
        <f t="shared" si="35"/>
        <v>BOB759</v>
      </c>
      <c r="F759" t="s">
        <v>25</v>
      </c>
      <c r="G759" s="11" t="s">
        <v>21</v>
      </c>
      <c r="H759" s="11">
        <v>0</v>
      </c>
      <c r="I759" s="11">
        <v>0</v>
      </c>
      <c r="J759" s="11">
        <v>0</v>
      </c>
      <c r="K759" s="11">
        <v>0</v>
      </c>
      <c r="L759" s="11">
        <v>54300</v>
      </c>
      <c r="M759" s="11">
        <v>195000</v>
      </c>
      <c r="N759" s="11">
        <v>0</v>
      </c>
    </row>
    <row r="760" spans="1:14" x14ac:dyDescent="0.3">
      <c r="A760" s="10">
        <v>46027</v>
      </c>
      <c r="B760" t="s">
        <v>19</v>
      </c>
      <c r="C760" t="str">
        <f t="shared" si="33"/>
        <v>3798512613760</v>
      </c>
      <c r="D760" t="str">
        <f t="shared" si="34"/>
        <v>Client760</v>
      </c>
      <c r="E760" t="str">
        <f t="shared" si="35"/>
        <v>BOB760</v>
      </c>
      <c r="F760" t="s">
        <v>25</v>
      </c>
      <c r="G760" s="11" t="s">
        <v>21</v>
      </c>
      <c r="H760" s="11">
        <v>0</v>
      </c>
      <c r="I760" s="11">
        <v>0</v>
      </c>
      <c r="J760" s="11">
        <v>0</v>
      </c>
      <c r="K760" s="11">
        <v>240000</v>
      </c>
      <c r="L760" s="11">
        <v>13614100</v>
      </c>
      <c r="M760" s="11">
        <v>13985900</v>
      </c>
      <c r="N760" s="11">
        <v>0</v>
      </c>
    </row>
    <row r="761" spans="1:14" x14ac:dyDescent="0.3">
      <c r="A761" s="10">
        <v>46027</v>
      </c>
      <c r="B761" t="s">
        <v>19</v>
      </c>
      <c r="C761" t="str">
        <f t="shared" si="33"/>
        <v>3798512613761</v>
      </c>
      <c r="D761" t="str">
        <f t="shared" si="34"/>
        <v>Client761</v>
      </c>
      <c r="E761" t="str">
        <f t="shared" si="35"/>
        <v>BOB761</v>
      </c>
      <c r="F761" t="s">
        <v>22</v>
      </c>
      <c r="G761" s="11" t="s">
        <v>23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x14ac:dyDescent="0.3">
      <c r="A762" s="10">
        <v>46027</v>
      </c>
      <c r="B762" t="s">
        <v>19</v>
      </c>
      <c r="C762" t="str">
        <f t="shared" si="33"/>
        <v>3798512613762</v>
      </c>
      <c r="D762" t="str">
        <f t="shared" si="34"/>
        <v>Client762</v>
      </c>
      <c r="E762" t="str">
        <f t="shared" si="35"/>
        <v>BOB762</v>
      </c>
      <c r="F762" t="s">
        <v>20</v>
      </c>
      <c r="G762" s="11" t="s">
        <v>21</v>
      </c>
      <c r="H762" s="11">
        <v>0</v>
      </c>
      <c r="I762" s="11">
        <v>0</v>
      </c>
      <c r="J762" s="11">
        <v>0</v>
      </c>
      <c r="K762" s="11">
        <v>11000000</v>
      </c>
      <c r="L762" s="11">
        <v>22146600</v>
      </c>
      <c r="M762" s="11">
        <v>38466300</v>
      </c>
      <c r="N762" s="11">
        <v>0</v>
      </c>
    </row>
    <row r="763" spans="1:14" x14ac:dyDescent="0.3">
      <c r="A763" s="10">
        <v>46027</v>
      </c>
      <c r="B763" t="s">
        <v>19</v>
      </c>
      <c r="C763" t="str">
        <f t="shared" si="33"/>
        <v>3798512613763</v>
      </c>
      <c r="D763" t="str">
        <f t="shared" si="34"/>
        <v>Client763</v>
      </c>
      <c r="E763" t="str">
        <f t="shared" si="35"/>
        <v>BOB763</v>
      </c>
      <c r="F763" t="s">
        <v>25</v>
      </c>
      <c r="G763" s="11" t="s">
        <v>21</v>
      </c>
      <c r="H763" s="11">
        <v>0</v>
      </c>
      <c r="I763" s="11">
        <v>501500</v>
      </c>
      <c r="J763" s="11">
        <v>0</v>
      </c>
      <c r="K763" s="11">
        <v>0</v>
      </c>
      <c r="L763" s="11">
        <v>1471400</v>
      </c>
      <c r="M763" s="11">
        <v>2057100</v>
      </c>
      <c r="N763" s="11">
        <v>0</v>
      </c>
    </row>
    <row r="764" spans="1:14" x14ac:dyDescent="0.3">
      <c r="A764" s="10">
        <v>46027</v>
      </c>
      <c r="B764" t="s">
        <v>19</v>
      </c>
      <c r="C764" t="str">
        <f t="shared" si="33"/>
        <v>3798512613764</v>
      </c>
      <c r="D764" t="str">
        <f t="shared" si="34"/>
        <v>Client764</v>
      </c>
      <c r="E764" t="str">
        <f t="shared" si="35"/>
        <v>BOB764</v>
      </c>
      <c r="F764" t="s">
        <v>20</v>
      </c>
      <c r="G764" s="11" t="s">
        <v>21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30000</v>
      </c>
      <c r="N764" s="11">
        <v>0</v>
      </c>
    </row>
    <row r="765" spans="1:14" x14ac:dyDescent="0.3">
      <c r="A765" s="10">
        <v>46027</v>
      </c>
      <c r="B765" t="s">
        <v>19</v>
      </c>
      <c r="C765" t="str">
        <f t="shared" si="33"/>
        <v>3798512613765</v>
      </c>
      <c r="D765" t="str">
        <f t="shared" si="34"/>
        <v>Client765</v>
      </c>
      <c r="E765" t="str">
        <f t="shared" si="35"/>
        <v>BOB765</v>
      </c>
      <c r="F765" t="s">
        <v>20</v>
      </c>
      <c r="G765" s="11" t="s">
        <v>21</v>
      </c>
      <c r="H765" s="11">
        <v>0</v>
      </c>
      <c r="I765" s="11">
        <v>0</v>
      </c>
      <c r="J765" s="11">
        <v>0</v>
      </c>
      <c r="K765" s="11">
        <v>0</v>
      </c>
      <c r="L765" s="11">
        <v>253600</v>
      </c>
      <c r="M765" s="11">
        <v>455000</v>
      </c>
      <c r="N765" s="11">
        <v>0</v>
      </c>
    </row>
    <row r="766" spans="1:14" x14ac:dyDescent="0.3">
      <c r="A766" s="10">
        <v>46027</v>
      </c>
      <c r="B766" t="s">
        <v>19</v>
      </c>
      <c r="C766" t="str">
        <f t="shared" si="33"/>
        <v>3798512613766</v>
      </c>
      <c r="D766" t="str">
        <f t="shared" si="34"/>
        <v>Client766</v>
      </c>
      <c r="E766" t="str">
        <f t="shared" si="35"/>
        <v>BOB766</v>
      </c>
      <c r="G766" s="11"/>
      <c r="H766" s="11">
        <v>0</v>
      </c>
      <c r="I766" s="11">
        <v>0</v>
      </c>
      <c r="J766" s="11">
        <v>1100000</v>
      </c>
      <c r="K766" s="11">
        <v>0</v>
      </c>
      <c r="L766" s="11">
        <v>5845900</v>
      </c>
      <c r="M766" s="11">
        <v>5351700</v>
      </c>
      <c r="N766" s="11">
        <v>0</v>
      </c>
    </row>
    <row r="767" spans="1:14" x14ac:dyDescent="0.3">
      <c r="A767" s="10">
        <v>46027</v>
      </c>
      <c r="B767" t="s">
        <v>19</v>
      </c>
      <c r="C767" t="str">
        <f t="shared" si="33"/>
        <v>3798512613767</v>
      </c>
      <c r="D767" t="str">
        <f t="shared" si="34"/>
        <v>Client767</v>
      </c>
      <c r="E767" t="str">
        <f t="shared" si="35"/>
        <v>BOB767</v>
      </c>
      <c r="F767" t="s">
        <v>57</v>
      </c>
      <c r="G767" s="11" t="s">
        <v>58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1955000</v>
      </c>
      <c r="N767" s="11">
        <v>0</v>
      </c>
    </row>
    <row r="768" spans="1:14" x14ac:dyDescent="0.3">
      <c r="A768" s="10">
        <v>46027</v>
      </c>
      <c r="B768" t="s">
        <v>19</v>
      </c>
      <c r="C768" t="str">
        <f t="shared" si="33"/>
        <v>3798512613768</v>
      </c>
      <c r="D768" t="str">
        <f t="shared" si="34"/>
        <v>Client768</v>
      </c>
      <c r="E768" t="str">
        <f t="shared" si="35"/>
        <v>BOB768</v>
      </c>
      <c r="F768" t="s">
        <v>20</v>
      </c>
      <c r="G768" s="11" t="s">
        <v>21</v>
      </c>
      <c r="H768" s="11">
        <v>0</v>
      </c>
      <c r="I768" s="11">
        <v>0</v>
      </c>
      <c r="J768" s="11">
        <v>0</v>
      </c>
      <c r="K768" s="11">
        <v>0</v>
      </c>
      <c r="L768" s="11">
        <v>3242700</v>
      </c>
      <c r="M768" s="11">
        <v>3428000</v>
      </c>
      <c r="N768" s="11">
        <v>0</v>
      </c>
    </row>
    <row r="769" spans="1:14" x14ac:dyDescent="0.3">
      <c r="A769" s="10">
        <v>46027</v>
      </c>
      <c r="B769" t="s">
        <v>19</v>
      </c>
      <c r="C769" t="str">
        <f t="shared" si="33"/>
        <v>3798512613769</v>
      </c>
      <c r="D769" t="str">
        <f t="shared" si="34"/>
        <v>Client769</v>
      </c>
      <c r="E769" t="str">
        <f t="shared" si="35"/>
        <v>BOB769</v>
      </c>
      <c r="F769" t="s">
        <v>25</v>
      </c>
      <c r="G769" s="11" t="s">
        <v>21</v>
      </c>
      <c r="H769" s="11">
        <v>0</v>
      </c>
      <c r="I769" s="11">
        <v>0</v>
      </c>
      <c r="J769" s="11">
        <v>0</v>
      </c>
      <c r="K769" s="11">
        <v>2003000</v>
      </c>
      <c r="L769" s="11">
        <v>6389800</v>
      </c>
      <c r="M769" s="11">
        <v>9304000</v>
      </c>
      <c r="N769" s="11">
        <v>0</v>
      </c>
    </row>
    <row r="770" spans="1:14" x14ac:dyDescent="0.3">
      <c r="A770" s="10">
        <v>46027</v>
      </c>
      <c r="B770" t="s">
        <v>19</v>
      </c>
      <c r="C770" t="str">
        <f t="shared" si="33"/>
        <v>3798512613770</v>
      </c>
      <c r="D770" t="str">
        <f t="shared" si="34"/>
        <v>Client770</v>
      </c>
      <c r="E770" t="str">
        <f t="shared" si="35"/>
        <v>BOB770</v>
      </c>
      <c r="F770" t="s">
        <v>20</v>
      </c>
      <c r="G770" s="11" t="s">
        <v>21</v>
      </c>
      <c r="H770" s="11">
        <v>0</v>
      </c>
      <c r="I770" s="11">
        <v>0</v>
      </c>
      <c r="J770" s="11">
        <v>0</v>
      </c>
      <c r="K770" s="11">
        <v>0</v>
      </c>
      <c r="L770" s="11">
        <v>5036000</v>
      </c>
      <c r="M770" s="11">
        <v>6094000</v>
      </c>
      <c r="N770" s="11">
        <v>0</v>
      </c>
    </row>
    <row r="771" spans="1:14" x14ac:dyDescent="0.3">
      <c r="A771" s="10">
        <v>46027</v>
      </c>
      <c r="B771" t="s">
        <v>19</v>
      </c>
      <c r="C771" t="str">
        <f t="shared" ref="C771:C807" si="36" xml:space="preserve"> "3798512613" &amp; ROW()</f>
        <v>3798512613771</v>
      </c>
      <c r="D771" t="str">
        <f t="shared" ref="D771:D807" si="37">"Client"&amp;ROW()</f>
        <v>Client771</v>
      </c>
      <c r="E771" t="str">
        <f t="shared" ref="E771:E807" si="38">"BOB"&amp;ROW()</f>
        <v>BOB771</v>
      </c>
      <c r="G771" s="11"/>
      <c r="H771" s="11">
        <v>0</v>
      </c>
      <c r="I771" s="11">
        <v>0</v>
      </c>
      <c r="J771" s="11">
        <v>0</v>
      </c>
      <c r="K771" s="11">
        <v>0</v>
      </c>
      <c r="L771" s="11">
        <v>704300</v>
      </c>
      <c r="M771" s="11">
        <v>961300</v>
      </c>
      <c r="N771" s="11">
        <v>0</v>
      </c>
    </row>
    <row r="772" spans="1:14" x14ac:dyDescent="0.3">
      <c r="A772" s="10">
        <v>46027</v>
      </c>
      <c r="B772" t="s">
        <v>19</v>
      </c>
      <c r="C772" t="str">
        <f t="shared" si="36"/>
        <v>3798512613772</v>
      </c>
      <c r="D772" t="str">
        <f t="shared" si="37"/>
        <v>Client772</v>
      </c>
      <c r="E772" t="str">
        <f t="shared" si="38"/>
        <v>BOB772</v>
      </c>
      <c r="F772" t="s">
        <v>20</v>
      </c>
      <c r="G772" s="11" t="s">
        <v>21</v>
      </c>
      <c r="H772" s="11">
        <v>0</v>
      </c>
      <c r="I772" s="11">
        <v>4507500</v>
      </c>
      <c r="J772" s="11">
        <v>0</v>
      </c>
      <c r="K772" s="11">
        <v>0</v>
      </c>
      <c r="L772" s="11">
        <v>4885100</v>
      </c>
      <c r="M772" s="11">
        <v>10223600</v>
      </c>
      <c r="N772" s="11">
        <v>0</v>
      </c>
    </row>
    <row r="773" spans="1:14" x14ac:dyDescent="0.3">
      <c r="A773" s="10">
        <v>46027</v>
      </c>
      <c r="B773" t="s">
        <v>19</v>
      </c>
      <c r="C773" t="str">
        <f t="shared" si="36"/>
        <v>3798512613773</v>
      </c>
      <c r="D773" t="str">
        <f t="shared" si="37"/>
        <v>Client773</v>
      </c>
      <c r="E773" t="str">
        <f t="shared" si="38"/>
        <v>BOB773</v>
      </c>
      <c r="F773" t="s">
        <v>25</v>
      </c>
      <c r="G773" s="11" t="s">
        <v>21</v>
      </c>
      <c r="H773" s="11">
        <v>0</v>
      </c>
      <c r="I773" s="11">
        <v>0</v>
      </c>
      <c r="J773" s="11">
        <v>0</v>
      </c>
      <c r="K773" s="11">
        <v>0</v>
      </c>
      <c r="L773" s="11">
        <v>6514900</v>
      </c>
      <c r="M773" s="11">
        <v>6438700</v>
      </c>
      <c r="N773" s="11">
        <v>0</v>
      </c>
    </row>
    <row r="774" spans="1:14" x14ac:dyDescent="0.3">
      <c r="A774" s="10">
        <v>46027</v>
      </c>
      <c r="B774" t="s">
        <v>19</v>
      </c>
      <c r="C774" t="str">
        <f t="shared" si="36"/>
        <v>3798512613774</v>
      </c>
      <c r="D774" t="str">
        <f t="shared" si="37"/>
        <v>Client774</v>
      </c>
      <c r="E774" t="str">
        <f t="shared" si="38"/>
        <v>BOB774</v>
      </c>
      <c r="F774" t="s">
        <v>25</v>
      </c>
      <c r="G774" s="11" t="s">
        <v>21</v>
      </c>
      <c r="H774" s="11">
        <v>0</v>
      </c>
      <c r="I774" s="11">
        <v>0</v>
      </c>
      <c r="J774" s="11">
        <v>3000000</v>
      </c>
      <c r="K774" s="11">
        <v>0</v>
      </c>
      <c r="L774" s="11">
        <v>36282200</v>
      </c>
      <c r="M774" s="11">
        <v>32077400</v>
      </c>
      <c r="N774" s="11">
        <v>0</v>
      </c>
    </row>
    <row r="775" spans="1:14" x14ac:dyDescent="0.3">
      <c r="A775" s="10">
        <v>46027</v>
      </c>
      <c r="B775" t="s">
        <v>19</v>
      </c>
      <c r="C775" t="str">
        <f t="shared" si="36"/>
        <v>3798512613775</v>
      </c>
      <c r="D775" t="str">
        <f t="shared" si="37"/>
        <v>Client775</v>
      </c>
      <c r="E775" t="str">
        <f t="shared" si="38"/>
        <v>BOB775</v>
      </c>
      <c r="F775" t="s">
        <v>57</v>
      </c>
      <c r="G775" s="11" t="s">
        <v>78</v>
      </c>
      <c r="H775" s="11">
        <v>0</v>
      </c>
      <c r="I775" s="11">
        <v>0</v>
      </c>
      <c r="J775" s="11">
        <v>7692300</v>
      </c>
      <c r="K775" s="11">
        <v>0</v>
      </c>
      <c r="L775" s="11">
        <v>21581800</v>
      </c>
      <c r="M775" s="11">
        <v>17614000</v>
      </c>
      <c r="N775" s="11">
        <v>0</v>
      </c>
    </row>
    <row r="776" spans="1:14" x14ac:dyDescent="0.3">
      <c r="A776" s="10">
        <v>46027</v>
      </c>
      <c r="B776" t="s">
        <v>19</v>
      </c>
      <c r="C776" t="str">
        <f t="shared" si="36"/>
        <v>3798512613776</v>
      </c>
      <c r="D776" t="str">
        <f t="shared" si="37"/>
        <v>Client776</v>
      </c>
      <c r="E776" t="str">
        <f t="shared" si="38"/>
        <v>BOB776</v>
      </c>
      <c r="F776" t="s">
        <v>24</v>
      </c>
      <c r="G776" s="11" t="s">
        <v>21</v>
      </c>
      <c r="H776" s="11">
        <v>0</v>
      </c>
      <c r="I776" s="11">
        <v>0</v>
      </c>
      <c r="J776" s="11">
        <v>0</v>
      </c>
      <c r="K776" s="11">
        <v>2600000</v>
      </c>
      <c r="L776" s="11">
        <v>3686300</v>
      </c>
      <c r="M776" s="11">
        <v>6906500</v>
      </c>
      <c r="N776" s="11">
        <v>0</v>
      </c>
    </row>
    <row r="777" spans="1:14" x14ac:dyDescent="0.3">
      <c r="A777" s="10">
        <v>46027</v>
      </c>
      <c r="B777" t="s">
        <v>19</v>
      </c>
      <c r="C777" t="str">
        <f t="shared" si="36"/>
        <v>3798512613777</v>
      </c>
      <c r="D777" t="str">
        <f t="shared" si="37"/>
        <v>Client777</v>
      </c>
      <c r="E777" t="str">
        <f t="shared" si="38"/>
        <v>BOB777</v>
      </c>
      <c r="G777" s="11"/>
      <c r="H777" s="11">
        <v>0</v>
      </c>
      <c r="I777" s="11">
        <v>0</v>
      </c>
      <c r="J777" s="11">
        <v>0</v>
      </c>
      <c r="K777" s="11">
        <v>0</v>
      </c>
      <c r="L777" s="11">
        <v>7301700</v>
      </c>
      <c r="M777" s="11">
        <v>6345900</v>
      </c>
      <c r="N777" s="11">
        <v>0</v>
      </c>
    </row>
    <row r="778" spans="1:14" x14ac:dyDescent="0.3">
      <c r="A778" s="10">
        <v>46027</v>
      </c>
      <c r="B778" t="s">
        <v>19</v>
      </c>
      <c r="C778" t="str">
        <f t="shared" si="36"/>
        <v>3798512613778</v>
      </c>
      <c r="D778" t="str">
        <f t="shared" si="37"/>
        <v>Client778</v>
      </c>
      <c r="E778" t="str">
        <f t="shared" si="38"/>
        <v>BOB778</v>
      </c>
      <c r="F778" t="s">
        <v>20</v>
      </c>
      <c r="G778" s="11" t="s">
        <v>21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x14ac:dyDescent="0.3">
      <c r="A779" s="10">
        <v>46027</v>
      </c>
      <c r="B779" t="s">
        <v>19</v>
      </c>
      <c r="C779" t="str">
        <f t="shared" si="36"/>
        <v>3798512613779</v>
      </c>
      <c r="D779" t="str">
        <f t="shared" si="37"/>
        <v>Client779</v>
      </c>
      <c r="E779" t="str">
        <f t="shared" si="38"/>
        <v>BOB779</v>
      </c>
      <c r="F779" t="s">
        <v>26</v>
      </c>
      <c r="G779" s="11" t="s">
        <v>21</v>
      </c>
      <c r="H779" s="11">
        <v>0</v>
      </c>
      <c r="I779" s="11">
        <v>0</v>
      </c>
      <c r="J779" s="11">
        <v>0</v>
      </c>
      <c r="K779" s="11">
        <v>0</v>
      </c>
      <c r="L779" s="11">
        <v>7012800</v>
      </c>
      <c r="M779" s="11">
        <v>16262200</v>
      </c>
      <c r="N779" s="11">
        <v>0</v>
      </c>
    </row>
    <row r="780" spans="1:14" x14ac:dyDescent="0.3">
      <c r="A780" s="10">
        <v>46027</v>
      </c>
      <c r="B780" t="s">
        <v>19</v>
      </c>
      <c r="C780" t="str">
        <f t="shared" si="36"/>
        <v>3798512613780</v>
      </c>
      <c r="D780" t="str">
        <f t="shared" si="37"/>
        <v>Client780</v>
      </c>
      <c r="E780" t="str">
        <f t="shared" si="38"/>
        <v>BOB780</v>
      </c>
      <c r="G780" s="11"/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x14ac:dyDescent="0.3">
      <c r="A781" s="10">
        <v>46027</v>
      </c>
      <c r="B781" t="s">
        <v>19</v>
      </c>
      <c r="C781" t="str">
        <f t="shared" si="36"/>
        <v>3798512613781</v>
      </c>
      <c r="D781" t="str">
        <f t="shared" si="37"/>
        <v>Client781</v>
      </c>
      <c r="E781" t="str">
        <f t="shared" si="38"/>
        <v>BOB781</v>
      </c>
      <c r="F781" t="s">
        <v>20</v>
      </c>
      <c r="G781" s="11" t="s">
        <v>21</v>
      </c>
      <c r="H781" s="11">
        <v>0</v>
      </c>
      <c r="I781" s="11">
        <v>0</v>
      </c>
      <c r="J781" s="11">
        <v>0</v>
      </c>
      <c r="K781" s="11">
        <v>0</v>
      </c>
      <c r="L781" s="11">
        <v>16816200</v>
      </c>
      <c r="M781" s="11">
        <v>15183100</v>
      </c>
      <c r="N781" s="11">
        <v>0</v>
      </c>
    </row>
    <row r="782" spans="1:14" x14ac:dyDescent="0.3">
      <c r="A782" s="10">
        <v>46027</v>
      </c>
      <c r="B782" t="s">
        <v>19</v>
      </c>
      <c r="C782" t="str">
        <f t="shared" si="36"/>
        <v>3798512613782</v>
      </c>
      <c r="D782" t="str">
        <f t="shared" si="37"/>
        <v>Client782</v>
      </c>
      <c r="E782" t="str">
        <f t="shared" si="38"/>
        <v>BOB782</v>
      </c>
      <c r="F782" t="s">
        <v>22</v>
      </c>
      <c r="G782" s="11" t="s">
        <v>23</v>
      </c>
      <c r="H782" s="11">
        <v>0</v>
      </c>
      <c r="I782" s="11">
        <v>0</v>
      </c>
      <c r="J782" s="11">
        <v>0</v>
      </c>
      <c r="K782" s="11">
        <v>0</v>
      </c>
      <c r="L782" s="11">
        <v>2439400</v>
      </c>
      <c r="M782" s="11">
        <v>2813700</v>
      </c>
      <c r="N782" s="11">
        <v>0</v>
      </c>
    </row>
    <row r="783" spans="1:14" x14ac:dyDescent="0.3">
      <c r="A783" s="10">
        <v>46027</v>
      </c>
      <c r="B783" t="s">
        <v>19</v>
      </c>
      <c r="C783" t="str">
        <f t="shared" si="36"/>
        <v>3798512613783</v>
      </c>
      <c r="D783" t="str">
        <f t="shared" si="37"/>
        <v>Client783</v>
      </c>
      <c r="E783" t="str">
        <f t="shared" si="38"/>
        <v>BOB783</v>
      </c>
      <c r="G783" s="11"/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x14ac:dyDescent="0.3">
      <c r="A784" s="10">
        <v>46027</v>
      </c>
      <c r="B784" t="s">
        <v>19</v>
      </c>
      <c r="C784" t="str">
        <f t="shared" si="36"/>
        <v>3798512613784</v>
      </c>
      <c r="D784" t="str">
        <f t="shared" si="37"/>
        <v>Client784</v>
      </c>
      <c r="E784" t="str">
        <f t="shared" si="38"/>
        <v>BOB784</v>
      </c>
      <c r="F784" t="s">
        <v>20</v>
      </c>
      <c r="G784" s="11" t="s">
        <v>21</v>
      </c>
      <c r="H784" s="11">
        <v>0</v>
      </c>
      <c r="I784" s="11">
        <v>0</v>
      </c>
      <c r="J784" s="11">
        <v>0</v>
      </c>
      <c r="K784" s="11">
        <v>2000000</v>
      </c>
      <c r="L784" s="11">
        <v>5278200</v>
      </c>
      <c r="M784" s="11">
        <v>7559100</v>
      </c>
      <c r="N784" s="11">
        <v>0</v>
      </c>
    </row>
    <row r="785" spans="1:14" x14ac:dyDescent="0.3">
      <c r="A785" s="10">
        <v>46027</v>
      </c>
      <c r="B785" t="s">
        <v>19</v>
      </c>
      <c r="C785" t="str">
        <f t="shared" si="36"/>
        <v>3798512613785</v>
      </c>
      <c r="D785" t="str">
        <f t="shared" si="37"/>
        <v>Client785</v>
      </c>
      <c r="E785" t="str">
        <f t="shared" si="38"/>
        <v>BOB785</v>
      </c>
      <c r="F785" t="s">
        <v>24</v>
      </c>
      <c r="G785" s="11" t="s">
        <v>21</v>
      </c>
      <c r="H785" s="11">
        <v>0</v>
      </c>
      <c r="I785" s="11">
        <v>0</v>
      </c>
      <c r="J785" s="11">
        <v>0</v>
      </c>
      <c r="K785" s="11">
        <v>3004500</v>
      </c>
      <c r="L785" s="11">
        <v>6747500</v>
      </c>
      <c r="M785" s="11">
        <v>8793500</v>
      </c>
      <c r="N785" s="11">
        <v>0</v>
      </c>
    </row>
    <row r="786" spans="1:14" x14ac:dyDescent="0.3">
      <c r="A786" s="10">
        <v>46027</v>
      </c>
      <c r="B786" t="s">
        <v>19</v>
      </c>
      <c r="C786" t="str">
        <f t="shared" si="36"/>
        <v>3798512613786</v>
      </c>
      <c r="D786" t="str">
        <f t="shared" si="37"/>
        <v>Client786</v>
      </c>
      <c r="E786" t="str">
        <f t="shared" si="38"/>
        <v>BOB786</v>
      </c>
      <c r="F786" t="s">
        <v>20</v>
      </c>
      <c r="G786" s="11" t="s">
        <v>21</v>
      </c>
      <c r="H786" s="11">
        <v>0</v>
      </c>
      <c r="I786" s="11">
        <v>0</v>
      </c>
      <c r="J786" s="11">
        <v>0</v>
      </c>
      <c r="K786" s="11">
        <v>3000000</v>
      </c>
      <c r="L786" s="11">
        <v>16260000</v>
      </c>
      <c r="M786" s="11">
        <v>12431700</v>
      </c>
      <c r="N786" s="11">
        <v>0</v>
      </c>
    </row>
    <row r="787" spans="1:14" x14ac:dyDescent="0.3">
      <c r="A787" s="10">
        <v>46027</v>
      </c>
      <c r="B787" t="s">
        <v>19</v>
      </c>
      <c r="C787" t="str">
        <f t="shared" si="36"/>
        <v>3798512613787</v>
      </c>
      <c r="D787" t="str">
        <f t="shared" si="37"/>
        <v>Client787</v>
      </c>
      <c r="E787" t="str">
        <f t="shared" si="38"/>
        <v>BOB787</v>
      </c>
      <c r="F787" t="s">
        <v>24</v>
      </c>
      <c r="G787" s="11" t="s">
        <v>64</v>
      </c>
      <c r="H787" s="11">
        <v>0</v>
      </c>
      <c r="I787" s="11">
        <v>0</v>
      </c>
      <c r="J787" s="11">
        <v>0</v>
      </c>
      <c r="K787" s="11">
        <v>0</v>
      </c>
      <c r="L787" s="11">
        <v>7700500</v>
      </c>
      <c r="M787" s="11">
        <v>8885700</v>
      </c>
      <c r="N787" s="11">
        <v>0</v>
      </c>
    </row>
    <row r="788" spans="1:14" x14ac:dyDescent="0.3">
      <c r="A788" s="10">
        <v>46027</v>
      </c>
      <c r="B788" t="s">
        <v>19</v>
      </c>
      <c r="C788" t="str">
        <f t="shared" si="36"/>
        <v>3798512613788</v>
      </c>
      <c r="D788" t="str">
        <f t="shared" si="37"/>
        <v>Client788</v>
      </c>
      <c r="E788" t="str">
        <f t="shared" si="38"/>
        <v>BOB788</v>
      </c>
      <c r="F788" t="s">
        <v>26</v>
      </c>
      <c r="G788" s="11" t="s">
        <v>47</v>
      </c>
      <c r="H788" s="11">
        <v>0</v>
      </c>
      <c r="I788" s="11">
        <v>0</v>
      </c>
      <c r="J788" s="11">
        <v>0</v>
      </c>
      <c r="K788" s="11">
        <v>0</v>
      </c>
      <c r="L788" s="11">
        <v>9394500</v>
      </c>
      <c r="M788" s="11">
        <v>8941100</v>
      </c>
      <c r="N788" s="11">
        <v>0</v>
      </c>
    </row>
    <row r="789" spans="1:14" x14ac:dyDescent="0.3">
      <c r="A789" s="10">
        <v>46027</v>
      </c>
      <c r="B789" t="s">
        <v>19</v>
      </c>
      <c r="C789" t="str">
        <f t="shared" si="36"/>
        <v>3798512613789</v>
      </c>
      <c r="D789" t="str">
        <f t="shared" si="37"/>
        <v>Client789</v>
      </c>
      <c r="E789" t="str">
        <f t="shared" si="38"/>
        <v>BOB789</v>
      </c>
      <c r="F789" t="s">
        <v>25</v>
      </c>
      <c r="G789" s="11" t="s">
        <v>21</v>
      </c>
      <c r="H789" s="11">
        <v>0</v>
      </c>
      <c r="I789" s="11">
        <v>0</v>
      </c>
      <c r="J789" s="11">
        <v>0</v>
      </c>
      <c r="K789" s="11">
        <v>3800000</v>
      </c>
      <c r="L789" s="11">
        <v>14276100</v>
      </c>
      <c r="M789" s="11">
        <v>19124300</v>
      </c>
      <c r="N789" s="11">
        <v>0</v>
      </c>
    </row>
    <row r="790" spans="1:14" x14ac:dyDescent="0.3">
      <c r="A790" s="10">
        <v>46027</v>
      </c>
      <c r="B790" t="s">
        <v>19</v>
      </c>
      <c r="C790" t="str">
        <f t="shared" si="36"/>
        <v>3798512613790</v>
      </c>
      <c r="D790" t="str">
        <f t="shared" si="37"/>
        <v>Client790</v>
      </c>
      <c r="E790" t="str">
        <f t="shared" si="38"/>
        <v>BOB790</v>
      </c>
      <c r="F790" t="s">
        <v>20</v>
      </c>
      <c r="G790" s="11" t="s">
        <v>21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x14ac:dyDescent="0.3">
      <c r="A791" s="10">
        <v>46027</v>
      </c>
      <c r="B791" t="s">
        <v>19</v>
      </c>
      <c r="C791" t="str">
        <f t="shared" si="36"/>
        <v>3798512613791</v>
      </c>
      <c r="D791" t="str">
        <f t="shared" si="37"/>
        <v>Client791</v>
      </c>
      <c r="E791" t="str">
        <f t="shared" si="38"/>
        <v>BOB791</v>
      </c>
      <c r="F791" t="s">
        <v>25</v>
      </c>
      <c r="G791" s="11" t="s">
        <v>21</v>
      </c>
      <c r="H791" s="11">
        <v>0</v>
      </c>
      <c r="I791" s="11">
        <v>0</v>
      </c>
      <c r="J791" s="11">
        <v>0</v>
      </c>
      <c r="K791" s="11">
        <v>0</v>
      </c>
      <c r="L791" s="11">
        <v>6188800</v>
      </c>
      <c r="M791" s="11">
        <v>6943500</v>
      </c>
      <c r="N791" s="11">
        <v>0</v>
      </c>
    </row>
    <row r="792" spans="1:14" x14ac:dyDescent="0.3">
      <c r="A792" s="10">
        <v>46027</v>
      </c>
      <c r="B792" t="s">
        <v>19</v>
      </c>
      <c r="C792" t="str">
        <f t="shared" si="36"/>
        <v>3798512613792</v>
      </c>
      <c r="D792" t="str">
        <f t="shared" si="37"/>
        <v>Client792</v>
      </c>
      <c r="E792" t="str">
        <f t="shared" si="38"/>
        <v>BOB792</v>
      </c>
      <c r="F792" t="s">
        <v>42</v>
      </c>
      <c r="G792" s="11" t="s">
        <v>21</v>
      </c>
      <c r="H792" s="11">
        <v>0</v>
      </c>
      <c r="I792" s="11">
        <v>2003000</v>
      </c>
      <c r="J792" s="11">
        <v>0</v>
      </c>
      <c r="K792" s="11">
        <v>0</v>
      </c>
      <c r="L792" s="11">
        <v>8162500</v>
      </c>
      <c r="M792" s="11">
        <v>9902900</v>
      </c>
      <c r="N792" s="11">
        <v>0</v>
      </c>
    </row>
    <row r="793" spans="1:14" x14ac:dyDescent="0.3">
      <c r="A793" s="10">
        <v>46027</v>
      </c>
      <c r="B793" t="s">
        <v>19</v>
      </c>
      <c r="C793" t="str">
        <f t="shared" si="36"/>
        <v>3798512613793</v>
      </c>
      <c r="D793" t="str">
        <f t="shared" si="37"/>
        <v>Client793</v>
      </c>
      <c r="E793" t="str">
        <f t="shared" si="38"/>
        <v>BOB793</v>
      </c>
      <c r="F793" t="s">
        <v>22</v>
      </c>
      <c r="G793" s="11" t="s">
        <v>23</v>
      </c>
      <c r="H793" s="11">
        <v>0</v>
      </c>
      <c r="I793" s="11">
        <v>10000000</v>
      </c>
      <c r="J793" s="11">
        <v>21500000</v>
      </c>
      <c r="K793" s="11">
        <v>76517000</v>
      </c>
      <c r="L793" s="11">
        <v>78591900</v>
      </c>
      <c r="M793" s="11">
        <v>142144400</v>
      </c>
      <c r="N793" s="11">
        <v>2000000</v>
      </c>
    </row>
    <row r="794" spans="1:14" x14ac:dyDescent="0.3">
      <c r="A794" s="10">
        <v>46027</v>
      </c>
      <c r="B794" t="s">
        <v>19</v>
      </c>
      <c r="C794" t="str">
        <f t="shared" si="36"/>
        <v>3798512613794</v>
      </c>
      <c r="D794" t="str">
        <f t="shared" si="37"/>
        <v>Client794</v>
      </c>
      <c r="E794" t="str">
        <f t="shared" si="38"/>
        <v>BOB794</v>
      </c>
      <c r="F794" t="s">
        <v>20</v>
      </c>
      <c r="G794" s="11" t="s">
        <v>21</v>
      </c>
      <c r="H794" s="11">
        <v>0</v>
      </c>
      <c r="I794" s="11">
        <v>2003000</v>
      </c>
      <c r="J794" s="11">
        <v>0</v>
      </c>
      <c r="K794" s="11">
        <v>0</v>
      </c>
      <c r="L794" s="11">
        <v>11904400</v>
      </c>
      <c r="M794" s="11">
        <v>12393200</v>
      </c>
      <c r="N794" s="11">
        <v>0</v>
      </c>
    </row>
    <row r="795" spans="1:14" x14ac:dyDescent="0.3">
      <c r="A795" s="10">
        <v>46027</v>
      </c>
      <c r="B795" t="s">
        <v>19</v>
      </c>
      <c r="C795" t="str">
        <f t="shared" si="36"/>
        <v>3798512613795</v>
      </c>
      <c r="D795" t="str">
        <f t="shared" si="37"/>
        <v>Client795</v>
      </c>
      <c r="E795" t="str">
        <f t="shared" si="38"/>
        <v>BOB795</v>
      </c>
      <c r="F795" t="s">
        <v>20</v>
      </c>
      <c r="G795" s="11" t="s">
        <v>21</v>
      </c>
      <c r="H795" s="11">
        <v>0</v>
      </c>
      <c r="I795" s="11">
        <v>0</v>
      </c>
      <c r="J795" s="11">
        <v>0</v>
      </c>
      <c r="K795" s="11">
        <v>0</v>
      </c>
      <c r="L795" s="11">
        <v>558600</v>
      </c>
      <c r="M795" s="11">
        <v>380000</v>
      </c>
      <c r="N795" s="11">
        <v>0</v>
      </c>
    </row>
    <row r="796" spans="1:14" x14ac:dyDescent="0.3">
      <c r="A796" s="10">
        <v>46027</v>
      </c>
      <c r="B796" t="s">
        <v>19</v>
      </c>
      <c r="C796" t="str">
        <f t="shared" si="36"/>
        <v>3798512613796</v>
      </c>
      <c r="D796" t="str">
        <f t="shared" si="37"/>
        <v>Client796</v>
      </c>
      <c r="E796" t="str">
        <f t="shared" si="38"/>
        <v>BOB796</v>
      </c>
      <c r="G796" s="11"/>
      <c r="H796" s="11">
        <v>0</v>
      </c>
      <c r="I796" s="11">
        <v>0</v>
      </c>
      <c r="J796" s="11">
        <v>0</v>
      </c>
      <c r="K796" s="11">
        <v>0</v>
      </c>
      <c r="L796" s="11">
        <v>91300</v>
      </c>
      <c r="M796" s="11">
        <v>0</v>
      </c>
      <c r="N796" s="11">
        <v>0</v>
      </c>
    </row>
    <row r="797" spans="1:14" x14ac:dyDescent="0.3">
      <c r="A797" s="10">
        <v>46027</v>
      </c>
      <c r="B797" t="s">
        <v>19</v>
      </c>
      <c r="C797" t="str">
        <f t="shared" si="36"/>
        <v>3798512613797</v>
      </c>
      <c r="D797" t="str">
        <f t="shared" si="37"/>
        <v>Client797</v>
      </c>
      <c r="E797" t="str">
        <f t="shared" si="38"/>
        <v>BOB797</v>
      </c>
      <c r="F797" t="s">
        <v>25</v>
      </c>
      <c r="G797" s="11" t="s">
        <v>21</v>
      </c>
      <c r="H797" s="11">
        <v>0</v>
      </c>
      <c r="I797" s="11">
        <v>0</v>
      </c>
      <c r="J797" s="11">
        <v>1700000</v>
      </c>
      <c r="K797" s="11">
        <v>0</v>
      </c>
      <c r="L797" s="11">
        <v>3033100</v>
      </c>
      <c r="M797" s="11">
        <v>1367500</v>
      </c>
      <c r="N797" s="11">
        <v>0</v>
      </c>
    </row>
    <row r="798" spans="1:14" x14ac:dyDescent="0.3">
      <c r="A798" s="10">
        <v>46027</v>
      </c>
      <c r="B798" t="s">
        <v>19</v>
      </c>
      <c r="C798" t="str">
        <f t="shared" si="36"/>
        <v>3798512613798</v>
      </c>
      <c r="D798" t="str">
        <f t="shared" si="37"/>
        <v>Client798</v>
      </c>
      <c r="E798" t="str">
        <f t="shared" si="38"/>
        <v>BOB798</v>
      </c>
      <c r="F798" t="s">
        <v>25</v>
      </c>
      <c r="G798" s="11" t="s">
        <v>21</v>
      </c>
      <c r="H798" s="11">
        <v>0</v>
      </c>
      <c r="I798" s="11">
        <v>501500</v>
      </c>
      <c r="J798" s="11">
        <v>0</v>
      </c>
      <c r="K798" s="11">
        <v>0</v>
      </c>
      <c r="L798" s="11">
        <v>3265300</v>
      </c>
      <c r="M798" s="11">
        <v>3609800</v>
      </c>
      <c r="N798" s="11">
        <v>0</v>
      </c>
    </row>
    <row r="799" spans="1:14" x14ac:dyDescent="0.3">
      <c r="A799" s="10">
        <v>46027</v>
      </c>
      <c r="B799" t="s">
        <v>19</v>
      </c>
      <c r="C799" t="str">
        <f t="shared" si="36"/>
        <v>3798512613799</v>
      </c>
      <c r="D799" t="str">
        <f t="shared" si="37"/>
        <v>Client799</v>
      </c>
      <c r="E799" t="str">
        <f t="shared" si="38"/>
        <v>BOB799</v>
      </c>
      <c r="F799" t="s">
        <v>20</v>
      </c>
      <c r="G799" s="11" t="s">
        <v>21</v>
      </c>
      <c r="H799" s="11">
        <v>0</v>
      </c>
      <c r="I799" s="11">
        <v>0</v>
      </c>
      <c r="J799" s="11">
        <v>0</v>
      </c>
      <c r="K799" s="11">
        <v>1000000</v>
      </c>
      <c r="L799" s="11">
        <v>11568400</v>
      </c>
      <c r="M799" s="11">
        <v>10377300</v>
      </c>
      <c r="N799" s="11">
        <v>0</v>
      </c>
    </row>
    <row r="800" spans="1:14" x14ac:dyDescent="0.3">
      <c r="A800" s="10">
        <v>46027</v>
      </c>
      <c r="B800" t="s">
        <v>19</v>
      </c>
      <c r="C800" t="str">
        <f t="shared" si="36"/>
        <v>3798512613800</v>
      </c>
      <c r="D800" t="str">
        <f t="shared" si="37"/>
        <v>Client800</v>
      </c>
      <c r="E800" t="str">
        <f t="shared" si="38"/>
        <v>BOB800</v>
      </c>
      <c r="F800" t="s">
        <v>26</v>
      </c>
      <c r="G800" s="11" t="s">
        <v>53</v>
      </c>
      <c r="H800" s="11">
        <v>0</v>
      </c>
      <c r="I800" s="11">
        <v>0</v>
      </c>
      <c r="J800" s="11">
        <v>0</v>
      </c>
      <c r="K800" s="11">
        <v>0</v>
      </c>
      <c r="L800" s="11">
        <v>8844300</v>
      </c>
      <c r="M800" s="11">
        <v>8981800</v>
      </c>
      <c r="N800" s="11">
        <v>0</v>
      </c>
    </row>
    <row r="801" spans="1:14" x14ac:dyDescent="0.3">
      <c r="A801" s="10">
        <v>46027</v>
      </c>
      <c r="B801" t="s">
        <v>19</v>
      </c>
      <c r="C801" t="str">
        <f t="shared" si="36"/>
        <v>3798512613801</v>
      </c>
      <c r="D801" t="str">
        <f t="shared" si="37"/>
        <v>Client801</v>
      </c>
      <c r="E801" t="str">
        <f t="shared" si="38"/>
        <v>BOB801</v>
      </c>
      <c r="F801" t="s">
        <v>57</v>
      </c>
      <c r="G801" s="11" t="s">
        <v>79</v>
      </c>
      <c r="H801" s="11">
        <v>0</v>
      </c>
      <c r="I801" s="11">
        <v>0</v>
      </c>
      <c r="J801" s="11">
        <v>0</v>
      </c>
      <c r="K801" s="11">
        <v>1200000</v>
      </c>
      <c r="L801" s="11">
        <v>8188900</v>
      </c>
      <c r="M801" s="11">
        <v>3859600</v>
      </c>
      <c r="N801" s="11">
        <v>0</v>
      </c>
    </row>
    <row r="802" spans="1:14" x14ac:dyDescent="0.3">
      <c r="A802" s="10">
        <v>46027</v>
      </c>
      <c r="B802" t="s">
        <v>19</v>
      </c>
      <c r="C802" t="str">
        <f t="shared" si="36"/>
        <v>3798512613802</v>
      </c>
      <c r="D802" t="str">
        <f t="shared" si="37"/>
        <v>Client802</v>
      </c>
      <c r="E802" t="str">
        <f t="shared" si="38"/>
        <v>BOB802</v>
      </c>
      <c r="G802" s="11"/>
      <c r="H802" s="11">
        <v>0</v>
      </c>
      <c r="I802" s="11">
        <v>0</v>
      </c>
      <c r="J802" s="11">
        <v>4611000</v>
      </c>
      <c r="K802" s="11">
        <v>3551000</v>
      </c>
      <c r="L802" s="11">
        <v>17553600</v>
      </c>
      <c r="M802" s="11">
        <v>16195800</v>
      </c>
      <c r="N802" s="11">
        <v>0</v>
      </c>
    </row>
    <row r="803" spans="1:14" x14ac:dyDescent="0.3">
      <c r="A803" s="10">
        <v>46027</v>
      </c>
      <c r="B803" t="s">
        <v>19</v>
      </c>
      <c r="C803" t="str">
        <f t="shared" si="36"/>
        <v>3798512613803</v>
      </c>
      <c r="D803" t="str">
        <f t="shared" si="37"/>
        <v>Client803</v>
      </c>
      <c r="E803" t="str">
        <f t="shared" si="38"/>
        <v>BOB803</v>
      </c>
      <c r="F803" t="s">
        <v>22</v>
      </c>
      <c r="G803" s="11" t="s">
        <v>23</v>
      </c>
      <c r="H803" s="11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</row>
    <row r="804" spans="1:14" x14ac:dyDescent="0.3">
      <c r="A804" s="10">
        <v>46027</v>
      </c>
      <c r="B804" t="s">
        <v>19</v>
      </c>
      <c r="C804" t="str">
        <f t="shared" si="36"/>
        <v>3798512613804</v>
      </c>
      <c r="D804" t="str">
        <f t="shared" si="37"/>
        <v>Client804</v>
      </c>
      <c r="E804" t="str">
        <f t="shared" si="38"/>
        <v>BOB804</v>
      </c>
      <c r="F804" t="s">
        <v>22</v>
      </c>
      <c r="G804" s="11" t="s">
        <v>23</v>
      </c>
      <c r="H804" s="11">
        <v>0</v>
      </c>
      <c r="I804" s="11">
        <v>0</v>
      </c>
      <c r="J804" s="11">
        <v>0</v>
      </c>
      <c r="K804" s="11">
        <v>0</v>
      </c>
      <c r="L804" s="11">
        <v>0</v>
      </c>
      <c r="M804" s="11">
        <v>0</v>
      </c>
      <c r="N804" s="11">
        <v>0</v>
      </c>
    </row>
    <row r="805" spans="1:14" x14ac:dyDescent="0.3">
      <c r="A805" s="10">
        <v>46027</v>
      </c>
      <c r="B805" t="s">
        <v>19</v>
      </c>
      <c r="C805" t="str">
        <f t="shared" si="36"/>
        <v>3798512613805</v>
      </c>
      <c r="D805" t="str">
        <f t="shared" si="37"/>
        <v>Client805</v>
      </c>
      <c r="E805" t="str">
        <f t="shared" si="38"/>
        <v>BOB805</v>
      </c>
      <c r="F805" t="s">
        <v>26</v>
      </c>
      <c r="G805" s="11" t="s">
        <v>59</v>
      </c>
      <c r="H805" s="11">
        <v>0</v>
      </c>
      <c r="I805" s="11">
        <v>0</v>
      </c>
      <c r="J805" s="11">
        <v>0</v>
      </c>
      <c r="K805" s="11">
        <v>1003000</v>
      </c>
      <c r="L805" s="11">
        <v>741800</v>
      </c>
      <c r="M805" s="11">
        <v>1589800</v>
      </c>
      <c r="N805" s="11">
        <v>0</v>
      </c>
    </row>
    <row r="806" spans="1:14" x14ac:dyDescent="0.3">
      <c r="A806" s="10">
        <v>46027</v>
      </c>
      <c r="B806" t="s">
        <v>19</v>
      </c>
      <c r="C806" t="str">
        <f t="shared" si="36"/>
        <v>3798512613806</v>
      </c>
      <c r="D806" t="str">
        <f t="shared" si="37"/>
        <v>Client806</v>
      </c>
      <c r="E806" t="str">
        <f t="shared" si="38"/>
        <v>BOB806</v>
      </c>
      <c r="F806" t="s">
        <v>20</v>
      </c>
      <c r="G806" s="11" t="s">
        <v>21</v>
      </c>
      <c r="H806" s="11">
        <v>0</v>
      </c>
      <c r="I806" s="11">
        <v>0</v>
      </c>
      <c r="J806" s="11">
        <v>0</v>
      </c>
      <c r="K806" s="11">
        <v>0</v>
      </c>
      <c r="L806" s="11">
        <v>4393900</v>
      </c>
      <c r="M806" s="11">
        <v>4260900</v>
      </c>
      <c r="N806" s="11">
        <v>0</v>
      </c>
    </row>
    <row r="807" spans="1:14" x14ac:dyDescent="0.3">
      <c r="A807" s="10">
        <v>46027</v>
      </c>
      <c r="B807" t="s">
        <v>19</v>
      </c>
      <c r="C807" t="str">
        <f t="shared" si="36"/>
        <v>3798512613807</v>
      </c>
      <c r="D807" t="str">
        <f t="shared" si="37"/>
        <v>Client807</v>
      </c>
      <c r="E807" t="str">
        <f t="shared" si="38"/>
        <v>BOB807</v>
      </c>
      <c r="F807" t="s">
        <v>26</v>
      </c>
      <c r="G807" s="11" t="s">
        <v>21</v>
      </c>
      <c r="H807" s="11">
        <v>0</v>
      </c>
      <c r="I807" s="11">
        <v>0</v>
      </c>
      <c r="J807" s="11">
        <v>0</v>
      </c>
      <c r="K807" s="11">
        <v>5738000</v>
      </c>
      <c r="L807" s="11">
        <v>2633600</v>
      </c>
      <c r="M807" s="11">
        <v>6961200</v>
      </c>
      <c r="N807" s="11">
        <v>0</v>
      </c>
    </row>
    <row r="808" spans="1:14" x14ac:dyDescent="0.3">
      <c r="A808" s="20" t="s">
        <v>83</v>
      </c>
      <c r="B808" s="20">
        <f t="shared" ref="B808:N808" si="39">SUM(B3:B807)</f>
        <v>0</v>
      </c>
      <c r="C808" s="20">
        <f t="shared" si="39"/>
        <v>0</v>
      </c>
      <c r="D808" s="20">
        <f t="shared" si="39"/>
        <v>0</v>
      </c>
      <c r="E808" s="20">
        <f t="shared" si="39"/>
        <v>0</v>
      </c>
      <c r="F808" s="20">
        <f t="shared" si="39"/>
        <v>0</v>
      </c>
      <c r="G808" s="21">
        <f t="shared" si="39"/>
        <v>0</v>
      </c>
      <c r="H808" s="15">
        <f t="shared" si="39"/>
        <v>1575167850</v>
      </c>
      <c r="I808" s="15">
        <f t="shared" si="39"/>
        <v>1451093800</v>
      </c>
      <c r="J808" s="15">
        <f t="shared" si="39"/>
        <v>2975291318</v>
      </c>
      <c r="K808" s="15">
        <f t="shared" si="39"/>
        <v>1853031037</v>
      </c>
      <c r="L808" s="15">
        <f t="shared" si="39"/>
        <v>10924482200</v>
      </c>
      <c r="M808" s="15">
        <f t="shared" si="39"/>
        <v>9443962500</v>
      </c>
      <c r="N808" s="15">
        <f t="shared" si="39"/>
        <v>53265000</v>
      </c>
    </row>
  </sheetData>
  <mergeCells count="5">
    <mergeCell ref="A1:G1"/>
    <mergeCell ref="H1:I1"/>
    <mergeCell ref="J1:K1"/>
    <mergeCell ref="L1:N1"/>
    <mergeCell ref="A808:G808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showGridLines="0" workbookViewId="0"/>
  </sheetViews>
  <sheetFormatPr defaultColWidth="11.5546875" defaultRowHeight="14.4" x14ac:dyDescent="0.3"/>
  <cols>
    <col min="1" max="1" width="5" customWidth="1"/>
    <col min="2" max="2" width="10.44140625" customWidth="1"/>
    <col min="3" max="3" width="9.6640625" customWidth="1"/>
    <col min="4" max="4" width="10.21875" customWidth="1"/>
    <col min="5" max="5" width="10.44140625" customWidth="1"/>
    <col min="6" max="6" width="11.21875" customWidth="1"/>
    <col min="7" max="7" width="10.44140625" customWidth="1"/>
    <col min="8" max="10" width="10.88671875" customWidth="1"/>
  </cols>
  <sheetData>
    <row r="1" spans="1:22" ht="16.5" customHeight="1" x14ac:dyDescent="0.4">
      <c r="A1" s="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ht="16.5" customHeight="1" x14ac:dyDescent="0.4">
      <c r="A2" s="22" t="s">
        <v>5</v>
      </c>
      <c r="B2" s="22"/>
      <c r="C2" s="22"/>
      <c r="D2" s="22"/>
      <c r="E2" s="4"/>
      <c r="G2" s="7"/>
      <c r="H2" s="7"/>
      <c r="I2" s="22" t="s">
        <v>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16.5" customHeight="1" x14ac:dyDescent="0.4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2" ht="37.5" customHeight="1" x14ac:dyDescent="0.4">
      <c r="A4" s="13" t="s">
        <v>84</v>
      </c>
      <c r="B4" s="13" t="s">
        <v>85</v>
      </c>
      <c r="C4" s="13" t="s">
        <v>86</v>
      </c>
      <c r="D4" s="13" t="s">
        <v>87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2" ht="16.5" customHeight="1" x14ac:dyDescent="0.4">
      <c r="A5" s="2" t="s">
        <v>88</v>
      </c>
      <c r="B5" s="3">
        <v>439</v>
      </c>
      <c r="C5" s="3">
        <v>93</v>
      </c>
      <c r="D5" s="3">
        <v>494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2" ht="16.5" customHeight="1" x14ac:dyDescent="0.4">
      <c r="A6" s="2" t="s">
        <v>89</v>
      </c>
      <c r="B6" s="3">
        <v>407</v>
      </c>
      <c r="C6" s="3">
        <v>85</v>
      </c>
      <c r="D6" s="3">
        <v>465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2" ht="16.5" customHeight="1" x14ac:dyDescent="0.4">
      <c r="A7" s="2" t="s">
        <v>90</v>
      </c>
      <c r="B7" s="3">
        <v>377</v>
      </c>
      <c r="C7" s="3">
        <v>78</v>
      </c>
      <c r="D7" s="3">
        <v>434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2" ht="16.5" customHeight="1" x14ac:dyDescent="0.4">
      <c r="A8" s="2" t="s">
        <v>91</v>
      </c>
      <c r="B8" s="3">
        <v>362</v>
      </c>
      <c r="C8" s="3">
        <v>56</v>
      </c>
      <c r="D8" s="3">
        <v>401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2" ht="16.5" customHeight="1" x14ac:dyDescent="0.4">
      <c r="A9" s="2" t="s">
        <v>92</v>
      </c>
      <c r="B9" s="3">
        <v>373</v>
      </c>
      <c r="C9" s="3">
        <v>106</v>
      </c>
      <c r="D9" s="3">
        <v>428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22" ht="16.5" customHeight="1" x14ac:dyDescent="0.4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2" ht="16.5" customHeight="1" x14ac:dyDescent="0.4">
      <c r="A11" s="22" t="s">
        <v>6</v>
      </c>
      <c r="B11" s="22"/>
      <c r="C11" s="22"/>
      <c r="D11" s="22"/>
      <c r="E11" s="22"/>
      <c r="F11" s="22"/>
      <c r="G11" s="22"/>
      <c r="H11" s="4"/>
      <c r="I11" s="22" t="s">
        <v>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6.5" customHeight="1" x14ac:dyDescent="0.4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2" ht="37.5" customHeight="1" x14ac:dyDescent="0.4">
      <c r="A13" s="13" t="s">
        <v>84</v>
      </c>
      <c r="B13" s="13" t="s">
        <v>38</v>
      </c>
      <c r="C13" s="13" t="s">
        <v>37</v>
      </c>
      <c r="D13" s="13" t="s">
        <v>36</v>
      </c>
      <c r="E13" s="13" t="s">
        <v>35</v>
      </c>
      <c r="F13" s="13" t="s">
        <v>93</v>
      </c>
      <c r="G13" s="13" t="s">
        <v>94</v>
      </c>
      <c r="H13" s="8" t="s">
        <v>1</v>
      </c>
      <c r="I13" s="8" t="s">
        <v>2</v>
      </c>
      <c r="J13" s="8" t="s">
        <v>3</v>
      </c>
      <c r="K13" s="4"/>
      <c r="L13" s="4"/>
      <c r="M13" s="4"/>
      <c r="N13" s="4"/>
      <c r="O13" s="4"/>
      <c r="P13" s="4"/>
      <c r="Q13" s="4"/>
      <c r="R13" s="4"/>
    </row>
    <row r="14" spans="1:22" x14ac:dyDescent="0.3">
      <c r="A14" s="5" t="s">
        <v>88</v>
      </c>
      <c r="B14" s="14">
        <v>2636365428</v>
      </c>
      <c r="C14" s="14">
        <v>3795789440</v>
      </c>
      <c r="D14" s="14">
        <v>1503222100</v>
      </c>
      <c r="E14" s="14">
        <v>1032799300</v>
      </c>
      <c r="F14" s="14">
        <v>4139587528</v>
      </c>
      <c r="G14" s="14">
        <v>4828588740</v>
      </c>
      <c r="H14" s="1">
        <f>B14+C14</f>
        <v>6432154868</v>
      </c>
      <c r="I14" s="1">
        <f>D14+E14</f>
        <v>2536021400</v>
      </c>
      <c r="J14" s="1">
        <f>F14+G14</f>
        <v>8968176268</v>
      </c>
    </row>
    <row r="15" spans="1:22" x14ac:dyDescent="0.3">
      <c r="A15" s="5" t="s">
        <v>89</v>
      </c>
      <c r="B15" s="14">
        <v>2462070994</v>
      </c>
      <c r="C15" s="14">
        <v>4195911529</v>
      </c>
      <c r="D15" s="14">
        <v>1843223100</v>
      </c>
      <c r="E15" s="14">
        <v>1072542000</v>
      </c>
      <c r="F15" s="14">
        <v>4305294094</v>
      </c>
      <c r="G15" s="14">
        <v>5268453529</v>
      </c>
      <c r="H15" s="1">
        <f t="shared" ref="H15:H18" si="0">B15+C15</f>
        <v>6657982523</v>
      </c>
      <c r="I15" s="1">
        <f t="shared" ref="I15:I18" si="1">D15+E15</f>
        <v>2915765100</v>
      </c>
      <c r="J15" s="1">
        <f t="shared" ref="J15:J18" si="2">F15+G15</f>
        <v>9573747623</v>
      </c>
    </row>
    <row r="16" spans="1:22" x14ac:dyDescent="0.3">
      <c r="A16" s="5" t="s">
        <v>90</v>
      </c>
      <c r="B16" s="14">
        <v>2257966837</v>
      </c>
      <c r="C16" s="14">
        <v>3548155869</v>
      </c>
      <c r="D16" s="14">
        <v>1665572300</v>
      </c>
      <c r="E16" s="14">
        <v>911310700</v>
      </c>
      <c r="F16" s="14">
        <v>3923539137</v>
      </c>
      <c r="G16" s="14">
        <v>4459466569</v>
      </c>
      <c r="H16" s="1">
        <f t="shared" si="0"/>
        <v>5806122706</v>
      </c>
      <c r="I16" s="1">
        <f t="shared" si="1"/>
        <v>2576883000</v>
      </c>
      <c r="J16" s="1">
        <f t="shared" si="2"/>
        <v>8383005706</v>
      </c>
    </row>
    <row r="17" spans="1:10" x14ac:dyDescent="0.3">
      <c r="A17" s="5" t="s">
        <v>91</v>
      </c>
      <c r="B17" s="14">
        <v>1682084400</v>
      </c>
      <c r="C17" s="14">
        <v>2523368499</v>
      </c>
      <c r="D17" s="14">
        <v>856072600</v>
      </c>
      <c r="E17" s="14">
        <v>546067500</v>
      </c>
      <c r="F17" s="14">
        <v>2538157000</v>
      </c>
      <c r="G17" s="14">
        <v>3069435999</v>
      </c>
      <c r="H17" s="1">
        <f t="shared" si="0"/>
        <v>4205452899</v>
      </c>
      <c r="I17" s="1">
        <f t="shared" si="1"/>
        <v>1402140100</v>
      </c>
      <c r="J17" s="1">
        <f t="shared" si="2"/>
        <v>5607592999</v>
      </c>
    </row>
    <row r="18" spans="1:10" x14ac:dyDescent="0.3">
      <c r="A18" s="5" t="s">
        <v>92</v>
      </c>
      <c r="B18" s="14">
        <v>1853031037</v>
      </c>
      <c r="C18" s="14">
        <v>2975291318</v>
      </c>
      <c r="D18" s="14">
        <v>1451093800</v>
      </c>
      <c r="E18" s="14">
        <v>1575167850</v>
      </c>
      <c r="F18" s="14">
        <v>3304124837</v>
      </c>
      <c r="G18" s="14">
        <v>4550459168</v>
      </c>
      <c r="H18" s="1">
        <f t="shared" si="0"/>
        <v>4828322355</v>
      </c>
      <c r="I18" s="1">
        <f t="shared" si="1"/>
        <v>3026261650</v>
      </c>
      <c r="J18" s="1">
        <f t="shared" si="2"/>
        <v>7854584005</v>
      </c>
    </row>
  </sheetData>
  <mergeCells count="4">
    <mergeCell ref="A2:D2"/>
    <mergeCell ref="I2:V2"/>
    <mergeCell ref="I11:V11"/>
    <mergeCell ref="A11:G1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recap_rz</vt:lpstr>
      <vt:lpstr>details_appro_rz</vt:lpstr>
      <vt:lpstr>details_cp</vt:lpstr>
      <vt:lpstr>Weekly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mv-remi</dc:creator>
  <cp:lastModifiedBy>Mahay Finaritra Rakotonoely</cp:lastModifiedBy>
  <dcterms:created xsi:type="dcterms:W3CDTF">2025-06-12T12:13:19Z</dcterms:created>
  <dcterms:modified xsi:type="dcterms:W3CDTF">2026-02-03T12:52:38Z</dcterms:modified>
</cp:coreProperties>
</file>