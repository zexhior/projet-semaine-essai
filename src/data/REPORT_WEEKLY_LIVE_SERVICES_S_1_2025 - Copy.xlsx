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akotonoely\Desktop\github\Transaction2Toi\data\fake\"/>
    </mc:Choice>
  </mc:AlternateContent>
  <xr:revisionPtr revIDLastSave="0" documentId="13_ncr:1_{8C09D9BB-C4F4-4759-B025-C96CCF8272FD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recap_rz" sheetId="4" r:id="rId1"/>
    <sheet name="details_appro_rz" sheetId="6" r:id="rId2"/>
    <sheet name="details_cp" sheetId="5" r:id="rId3"/>
    <sheet name="Weekly Evolution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6" l="1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68" i="6"/>
  <c r="D169" i="6"/>
  <c r="D170" i="6"/>
  <c r="D171" i="6"/>
  <c r="D172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324" i="6"/>
  <c r="D325" i="6"/>
  <c r="D326" i="6"/>
  <c r="D327" i="6"/>
  <c r="D328" i="6"/>
  <c r="D329" i="6"/>
  <c r="D330" i="6"/>
  <c r="D331" i="6"/>
  <c r="D332" i="6"/>
  <c r="D333" i="6"/>
  <c r="D334" i="6"/>
  <c r="D335" i="6"/>
  <c r="D336" i="6"/>
  <c r="D337" i="6"/>
  <c r="D338" i="6"/>
  <c r="D339" i="6"/>
  <c r="D340" i="6"/>
  <c r="D341" i="6"/>
  <c r="D342" i="6"/>
  <c r="D343" i="6"/>
  <c r="D344" i="6"/>
  <c r="D345" i="6"/>
  <c r="D346" i="6"/>
  <c r="D347" i="6"/>
  <c r="D348" i="6"/>
  <c r="D349" i="6"/>
  <c r="D350" i="6"/>
  <c r="D351" i="6"/>
  <c r="D352" i="6"/>
  <c r="D353" i="6"/>
  <c r="D354" i="6"/>
  <c r="D355" i="6"/>
  <c r="D356" i="6"/>
  <c r="D357" i="6"/>
  <c r="D358" i="6"/>
  <c r="D359" i="6"/>
  <c r="D360" i="6"/>
  <c r="D361" i="6"/>
  <c r="D362" i="6"/>
  <c r="D363" i="6"/>
  <c r="D364" i="6"/>
  <c r="D365" i="6"/>
  <c r="D366" i="6"/>
  <c r="D367" i="6"/>
  <c r="D368" i="6"/>
  <c r="D369" i="6"/>
  <c r="D370" i="6"/>
  <c r="D371" i="6"/>
  <c r="D372" i="6"/>
  <c r="D373" i="6"/>
  <c r="D374" i="6"/>
  <c r="D375" i="6"/>
  <c r="D376" i="6"/>
  <c r="D377" i="6"/>
  <c r="D378" i="6"/>
  <c r="D379" i="6"/>
  <c r="D380" i="6"/>
  <c r="D381" i="6"/>
  <c r="D382" i="6"/>
  <c r="D383" i="6"/>
  <c r="D384" i="6"/>
  <c r="D385" i="6"/>
  <c r="D386" i="6"/>
  <c r="D387" i="6"/>
  <c r="D388" i="6"/>
  <c r="D389" i="6"/>
  <c r="D390" i="6"/>
  <c r="D391" i="6"/>
  <c r="D392" i="6"/>
  <c r="D393" i="6"/>
  <c r="D394" i="6"/>
  <c r="D395" i="6"/>
  <c r="D396" i="6"/>
  <c r="D397" i="6"/>
  <c r="D398" i="6"/>
  <c r="D399" i="6"/>
  <c r="D400" i="6"/>
  <c r="D401" i="6"/>
  <c r="D402" i="6"/>
  <c r="D403" i="6"/>
  <c r="D404" i="6"/>
  <c r="D405" i="6"/>
  <c r="D406" i="6"/>
  <c r="D407" i="6"/>
  <c r="D408" i="6"/>
  <c r="D409" i="6"/>
  <c r="D410" i="6"/>
  <c r="D411" i="6"/>
  <c r="D412" i="6"/>
  <c r="D413" i="6"/>
  <c r="D414" i="6"/>
  <c r="D415" i="6"/>
  <c r="D416" i="6"/>
  <c r="D417" i="6"/>
  <c r="D418" i="6"/>
  <c r="D419" i="6"/>
  <c r="D420" i="6"/>
  <c r="D421" i="6"/>
  <c r="D422" i="6"/>
  <c r="D423" i="6"/>
  <c r="D424" i="6"/>
  <c r="D425" i="6"/>
  <c r="D426" i="6"/>
  <c r="D427" i="6"/>
  <c r="D428" i="6"/>
  <c r="D429" i="6"/>
  <c r="D430" i="6"/>
  <c r="D431" i="6"/>
  <c r="D432" i="6"/>
  <c r="D433" i="6"/>
  <c r="D434" i="6"/>
  <c r="F2" i="4"/>
  <c r="D2" i="4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75" i="5"/>
  <c r="E76" i="5"/>
  <c r="E77" i="5"/>
  <c r="E78" i="5"/>
  <c r="E79" i="5"/>
  <c r="E80" i="5"/>
  <c r="E81" i="5"/>
  <c r="E82" i="5"/>
  <c r="E83" i="5"/>
  <c r="E84" i="5"/>
  <c r="E85" i="5"/>
  <c r="E86" i="5"/>
  <c r="E87" i="5"/>
  <c r="E88" i="5"/>
  <c r="E89" i="5"/>
  <c r="E90" i="5"/>
  <c r="E91" i="5"/>
  <c r="E92" i="5"/>
  <c r="E93" i="5"/>
  <c r="E94" i="5"/>
  <c r="E95" i="5"/>
  <c r="E96" i="5"/>
  <c r="E97" i="5"/>
  <c r="E98" i="5"/>
  <c r="E99" i="5"/>
  <c r="E100" i="5"/>
  <c r="E101" i="5"/>
  <c r="E102" i="5"/>
  <c r="E103" i="5"/>
  <c r="E104" i="5"/>
  <c r="E105" i="5"/>
  <c r="E106" i="5"/>
  <c r="E107" i="5"/>
  <c r="E108" i="5"/>
  <c r="E109" i="5"/>
  <c r="E110" i="5"/>
  <c r="E111" i="5"/>
  <c r="E112" i="5"/>
  <c r="E113" i="5"/>
  <c r="E114" i="5"/>
  <c r="E115" i="5"/>
  <c r="E116" i="5"/>
  <c r="E117" i="5"/>
  <c r="E118" i="5"/>
  <c r="E119" i="5"/>
  <c r="E120" i="5"/>
  <c r="E121" i="5"/>
  <c r="E122" i="5"/>
  <c r="E123" i="5"/>
  <c r="E124" i="5"/>
  <c r="E125" i="5"/>
  <c r="E126" i="5"/>
  <c r="E127" i="5"/>
  <c r="E128" i="5"/>
  <c r="E129" i="5"/>
  <c r="E130" i="5"/>
  <c r="E131" i="5"/>
  <c r="E132" i="5"/>
  <c r="E133" i="5"/>
  <c r="E134" i="5"/>
  <c r="E135" i="5"/>
  <c r="E136" i="5"/>
  <c r="E137" i="5"/>
  <c r="E138" i="5"/>
  <c r="E139" i="5"/>
  <c r="E140" i="5"/>
  <c r="E141" i="5"/>
  <c r="E142" i="5"/>
  <c r="E143" i="5"/>
  <c r="E144" i="5"/>
  <c r="E145" i="5"/>
  <c r="E146" i="5"/>
  <c r="E147" i="5"/>
  <c r="E148" i="5"/>
  <c r="E149" i="5"/>
  <c r="E150" i="5"/>
  <c r="E151" i="5"/>
  <c r="E152" i="5"/>
  <c r="E153" i="5"/>
  <c r="E154" i="5"/>
  <c r="E155" i="5"/>
  <c r="E156" i="5"/>
  <c r="E157" i="5"/>
  <c r="E158" i="5"/>
  <c r="E159" i="5"/>
  <c r="E160" i="5"/>
  <c r="E161" i="5"/>
  <c r="E162" i="5"/>
  <c r="E163" i="5"/>
  <c r="E164" i="5"/>
  <c r="E165" i="5"/>
  <c r="E166" i="5"/>
  <c r="E167" i="5"/>
  <c r="E168" i="5"/>
  <c r="E169" i="5"/>
  <c r="E170" i="5"/>
  <c r="E171" i="5"/>
  <c r="E172" i="5"/>
  <c r="E173" i="5"/>
  <c r="E174" i="5"/>
  <c r="E175" i="5"/>
  <c r="E176" i="5"/>
  <c r="E177" i="5"/>
  <c r="E178" i="5"/>
  <c r="E179" i="5"/>
  <c r="E180" i="5"/>
  <c r="E181" i="5"/>
  <c r="E182" i="5"/>
  <c r="E183" i="5"/>
  <c r="E184" i="5"/>
  <c r="E185" i="5"/>
  <c r="E186" i="5"/>
  <c r="E187" i="5"/>
  <c r="E188" i="5"/>
  <c r="E805" i="5" s="1"/>
  <c r="E189" i="5"/>
  <c r="E190" i="5"/>
  <c r="E191" i="5"/>
  <c r="E192" i="5"/>
  <c r="E193" i="5"/>
  <c r="E194" i="5"/>
  <c r="E195" i="5"/>
  <c r="E196" i="5"/>
  <c r="E197" i="5"/>
  <c r="E198" i="5"/>
  <c r="E199" i="5"/>
  <c r="E200" i="5"/>
  <c r="E201" i="5"/>
  <c r="E202" i="5"/>
  <c r="E203" i="5"/>
  <c r="E204" i="5"/>
  <c r="E205" i="5"/>
  <c r="E206" i="5"/>
  <c r="E207" i="5"/>
  <c r="E208" i="5"/>
  <c r="E209" i="5"/>
  <c r="E210" i="5"/>
  <c r="E211" i="5"/>
  <c r="E212" i="5"/>
  <c r="E213" i="5"/>
  <c r="E214" i="5"/>
  <c r="E215" i="5"/>
  <c r="E216" i="5"/>
  <c r="E217" i="5"/>
  <c r="E218" i="5"/>
  <c r="E219" i="5"/>
  <c r="E220" i="5"/>
  <c r="E221" i="5"/>
  <c r="E222" i="5"/>
  <c r="E223" i="5"/>
  <c r="E224" i="5"/>
  <c r="E225" i="5"/>
  <c r="E226" i="5"/>
  <c r="E227" i="5"/>
  <c r="E228" i="5"/>
  <c r="E229" i="5"/>
  <c r="E230" i="5"/>
  <c r="E231" i="5"/>
  <c r="E232" i="5"/>
  <c r="E233" i="5"/>
  <c r="E234" i="5"/>
  <c r="E235" i="5"/>
  <c r="E236" i="5"/>
  <c r="E237" i="5"/>
  <c r="E238" i="5"/>
  <c r="E239" i="5"/>
  <c r="E240" i="5"/>
  <c r="E241" i="5"/>
  <c r="E242" i="5"/>
  <c r="E243" i="5"/>
  <c r="E244" i="5"/>
  <c r="E245" i="5"/>
  <c r="E246" i="5"/>
  <c r="E247" i="5"/>
  <c r="E248" i="5"/>
  <c r="E249" i="5"/>
  <c r="E250" i="5"/>
  <c r="E251" i="5"/>
  <c r="E252" i="5"/>
  <c r="E253" i="5"/>
  <c r="E254" i="5"/>
  <c r="E255" i="5"/>
  <c r="E256" i="5"/>
  <c r="E257" i="5"/>
  <c r="E258" i="5"/>
  <c r="E259" i="5"/>
  <c r="E260" i="5"/>
  <c r="E261" i="5"/>
  <c r="E262" i="5"/>
  <c r="E263" i="5"/>
  <c r="E264" i="5"/>
  <c r="E265" i="5"/>
  <c r="E266" i="5"/>
  <c r="E267" i="5"/>
  <c r="E268" i="5"/>
  <c r="E269" i="5"/>
  <c r="E270" i="5"/>
  <c r="E271" i="5"/>
  <c r="E272" i="5"/>
  <c r="E273" i="5"/>
  <c r="E274" i="5"/>
  <c r="E275" i="5"/>
  <c r="E276" i="5"/>
  <c r="E277" i="5"/>
  <c r="E278" i="5"/>
  <c r="E279" i="5"/>
  <c r="E280" i="5"/>
  <c r="E281" i="5"/>
  <c r="E282" i="5"/>
  <c r="E283" i="5"/>
  <c r="E284" i="5"/>
  <c r="E285" i="5"/>
  <c r="E286" i="5"/>
  <c r="E287" i="5"/>
  <c r="E288" i="5"/>
  <c r="E289" i="5"/>
  <c r="E290" i="5"/>
  <c r="E291" i="5"/>
  <c r="E292" i="5"/>
  <c r="E293" i="5"/>
  <c r="E294" i="5"/>
  <c r="E295" i="5"/>
  <c r="E296" i="5"/>
  <c r="E297" i="5"/>
  <c r="E298" i="5"/>
  <c r="E299" i="5"/>
  <c r="E300" i="5"/>
  <c r="E301" i="5"/>
  <c r="E302" i="5"/>
  <c r="E303" i="5"/>
  <c r="E304" i="5"/>
  <c r="E305" i="5"/>
  <c r="E306" i="5"/>
  <c r="E307" i="5"/>
  <c r="E308" i="5"/>
  <c r="E309" i="5"/>
  <c r="E310" i="5"/>
  <c r="E311" i="5"/>
  <c r="E312" i="5"/>
  <c r="E313" i="5"/>
  <c r="E314" i="5"/>
  <c r="E315" i="5"/>
  <c r="E316" i="5"/>
  <c r="E317" i="5"/>
  <c r="E318" i="5"/>
  <c r="E319" i="5"/>
  <c r="E320" i="5"/>
  <c r="E321" i="5"/>
  <c r="E322" i="5"/>
  <c r="E323" i="5"/>
  <c r="E324" i="5"/>
  <c r="E325" i="5"/>
  <c r="E326" i="5"/>
  <c r="E327" i="5"/>
  <c r="E328" i="5"/>
  <c r="E329" i="5"/>
  <c r="E330" i="5"/>
  <c r="E331" i="5"/>
  <c r="E332" i="5"/>
  <c r="E333" i="5"/>
  <c r="E334" i="5"/>
  <c r="E335" i="5"/>
  <c r="E336" i="5"/>
  <c r="E337" i="5"/>
  <c r="E338" i="5"/>
  <c r="E339" i="5"/>
  <c r="E340" i="5"/>
  <c r="E341" i="5"/>
  <c r="E342" i="5"/>
  <c r="E343" i="5"/>
  <c r="E344" i="5"/>
  <c r="E345" i="5"/>
  <c r="E346" i="5"/>
  <c r="E347" i="5"/>
  <c r="E348" i="5"/>
  <c r="E349" i="5"/>
  <c r="E350" i="5"/>
  <c r="E351" i="5"/>
  <c r="E352" i="5"/>
  <c r="E353" i="5"/>
  <c r="E354" i="5"/>
  <c r="E355" i="5"/>
  <c r="E356" i="5"/>
  <c r="E357" i="5"/>
  <c r="E358" i="5"/>
  <c r="E359" i="5"/>
  <c r="E360" i="5"/>
  <c r="E361" i="5"/>
  <c r="E362" i="5"/>
  <c r="E363" i="5"/>
  <c r="E364" i="5"/>
  <c r="E365" i="5"/>
  <c r="E366" i="5"/>
  <c r="E367" i="5"/>
  <c r="E368" i="5"/>
  <c r="E369" i="5"/>
  <c r="E370" i="5"/>
  <c r="E371" i="5"/>
  <c r="E372" i="5"/>
  <c r="E373" i="5"/>
  <c r="E374" i="5"/>
  <c r="E375" i="5"/>
  <c r="E376" i="5"/>
  <c r="E377" i="5"/>
  <c r="E378" i="5"/>
  <c r="E379" i="5"/>
  <c r="E380" i="5"/>
  <c r="E381" i="5"/>
  <c r="E382" i="5"/>
  <c r="E383" i="5"/>
  <c r="E384" i="5"/>
  <c r="E385" i="5"/>
  <c r="E386" i="5"/>
  <c r="E387" i="5"/>
  <c r="E388" i="5"/>
  <c r="E389" i="5"/>
  <c r="E390" i="5"/>
  <c r="E391" i="5"/>
  <c r="E392" i="5"/>
  <c r="E393" i="5"/>
  <c r="E394" i="5"/>
  <c r="E395" i="5"/>
  <c r="E396" i="5"/>
  <c r="E397" i="5"/>
  <c r="E398" i="5"/>
  <c r="E399" i="5"/>
  <c r="E400" i="5"/>
  <c r="E401" i="5"/>
  <c r="E402" i="5"/>
  <c r="E403" i="5"/>
  <c r="E404" i="5"/>
  <c r="E405" i="5"/>
  <c r="E406" i="5"/>
  <c r="E407" i="5"/>
  <c r="E408" i="5"/>
  <c r="E409" i="5"/>
  <c r="E410" i="5"/>
  <c r="E411" i="5"/>
  <c r="E412" i="5"/>
  <c r="E413" i="5"/>
  <c r="E414" i="5"/>
  <c r="E415" i="5"/>
  <c r="E416" i="5"/>
  <c r="E417" i="5"/>
  <c r="E418" i="5"/>
  <c r="E419" i="5"/>
  <c r="E420" i="5"/>
  <c r="E421" i="5"/>
  <c r="E422" i="5"/>
  <c r="E423" i="5"/>
  <c r="E424" i="5"/>
  <c r="E425" i="5"/>
  <c r="E426" i="5"/>
  <c r="E427" i="5"/>
  <c r="E428" i="5"/>
  <c r="E429" i="5"/>
  <c r="E430" i="5"/>
  <c r="E431" i="5"/>
  <c r="E432" i="5"/>
  <c r="E433" i="5"/>
  <c r="E434" i="5"/>
  <c r="E435" i="5"/>
  <c r="E436" i="5"/>
  <c r="E437" i="5"/>
  <c r="E438" i="5"/>
  <c r="E439" i="5"/>
  <c r="E440" i="5"/>
  <c r="E441" i="5"/>
  <c r="E442" i="5"/>
  <c r="E443" i="5"/>
  <c r="E444" i="5"/>
  <c r="E445" i="5"/>
  <c r="E446" i="5"/>
  <c r="E447" i="5"/>
  <c r="E448" i="5"/>
  <c r="E449" i="5"/>
  <c r="E450" i="5"/>
  <c r="E451" i="5"/>
  <c r="E452" i="5"/>
  <c r="E453" i="5"/>
  <c r="E454" i="5"/>
  <c r="E455" i="5"/>
  <c r="E456" i="5"/>
  <c r="E457" i="5"/>
  <c r="E458" i="5"/>
  <c r="E459" i="5"/>
  <c r="E460" i="5"/>
  <c r="E461" i="5"/>
  <c r="E462" i="5"/>
  <c r="E463" i="5"/>
  <c r="E464" i="5"/>
  <c r="E465" i="5"/>
  <c r="E466" i="5"/>
  <c r="E467" i="5"/>
  <c r="E468" i="5"/>
  <c r="E469" i="5"/>
  <c r="E470" i="5"/>
  <c r="E471" i="5"/>
  <c r="E472" i="5"/>
  <c r="E473" i="5"/>
  <c r="E474" i="5"/>
  <c r="E475" i="5"/>
  <c r="E476" i="5"/>
  <c r="E477" i="5"/>
  <c r="E478" i="5"/>
  <c r="E479" i="5"/>
  <c r="E480" i="5"/>
  <c r="E481" i="5"/>
  <c r="E482" i="5"/>
  <c r="E483" i="5"/>
  <c r="E484" i="5"/>
  <c r="E485" i="5"/>
  <c r="E486" i="5"/>
  <c r="E487" i="5"/>
  <c r="E488" i="5"/>
  <c r="E489" i="5"/>
  <c r="E490" i="5"/>
  <c r="E491" i="5"/>
  <c r="E492" i="5"/>
  <c r="E493" i="5"/>
  <c r="E494" i="5"/>
  <c r="E495" i="5"/>
  <c r="E496" i="5"/>
  <c r="E497" i="5"/>
  <c r="E498" i="5"/>
  <c r="E499" i="5"/>
  <c r="E500" i="5"/>
  <c r="E501" i="5"/>
  <c r="E502" i="5"/>
  <c r="E503" i="5"/>
  <c r="E504" i="5"/>
  <c r="E505" i="5"/>
  <c r="E506" i="5"/>
  <c r="E507" i="5"/>
  <c r="E508" i="5"/>
  <c r="E509" i="5"/>
  <c r="E510" i="5"/>
  <c r="E511" i="5"/>
  <c r="E512" i="5"/>
  <c r="E513" i="5"/>
  <c r="E514" i="5"/>
  <c r="E515" i="5"/>
  <c r="E516" i="5"/>
  <c r="E517" i="5"/>
  <c r="E518" i="5"/>
  <c r="E519" i="5"/>
  <c r="E520" i="5"/>
  <c r="E521" i="5"/>
  <c r="E522" i="5"/>
  <c r="E523" i="5"/>
  <c r="E524" i="5"/>
  <c r="E525" i="5"/>
  <c r="E526" i="5"/>
  <c r="E527" i="5"/>
  <c r="E528" i="5"/>
  <c r="E529" i="5"/>
  <c r="E530" i="5"/>
  <c r="E531" i="5"/>
  <c r="E532" i="5"/>
  <c r="E533" i="5"/>
  <c r="E534" i="5"/>
  <c r="E535" i="5"/>
  <c r="E536" i="5"/>
  <c r="E537" i="5"/>
  <c r="E538" i="5"/>
  <c r="E539" i="5"/>
  <c r="E540" i="5"/>
  <c r="E541" i="5"/>
  <c r="E542" i="5"/>
  <c r="E543" i="5"/>
  <c r="E544" i="5"/>
  <c r="E545" i="5"/>
  <c r="E546" i="5"/>
  <c r="E547" i="5"/>
  <c r="E548" i="5"/>
  <c r="E549" i="5"/>
  <c r="E550" i="5"/>
  <c r="E551" i="5"/>
  <c r="E552" i="5"/>
  <c r="E553" i="5"/>
  <c r="E554" i="5"/>
  <c r="E555" i="5"/>
  <c r="E556" i="5"/>
  <c r="E557" i="5"/>
  <c r="E558" i="5"/>
  <c r="E559" i="5"/>
  <c r="E560" i="5"/>
  <c r="E561" i="5"/>
  <c r="E562" i="5"/>
  <c r="E563" i="5"/>
  <c r="E564" i="5"/>
  <c r="E565" i="5"/>
  <c r="E566" i="5"/>
  <c r="E567" i="5"/>
  <c r="E568" i="5"/>
  <c r="E569" i="5"/>
  <c r="E570" i="5"/>
  <c r="E571" i="5"/>
  <c r="E572" i="5"/>
  <c r="E573" i="5"/>
  <c r="E574" i="5"/>
  <c r="E575" i="5"/>
  <c r="E576" i="5"/>
  <c r="E577" i="5"/>
  <c r="E578" i="5"/>
  <c r="E579" i="5"/>
  <c r="E580" i="5"/>
  <c r="E581" i="5"/>
  <c r="E582" i="5"/>
  <c r="E583" i="5"/>
  <c r="E584" i="5"/>
  <c r="E585" i="5"/>
  <c r="E586" i="5"/>
  <c r="E587" i="5"/>
  <c r="E588" i="5"/>
  <c r="E589" i="5"/>
  <c r="E590" i="5"/>
  <c r="E591" i="5"/>
  <c r="E592" i="5"/>
  <c r="E593" i="5"/>
  <c r="E594" i="5"/>
  <c r="E595" i="5"/>
  <c r="E596" i="5"/>
  <c r="E597" i="5"/>
  <c r="E598" i="5"/>
  <c r="E599" i="5"/>
  <c r="E600" i="5"/>
  <c r="E601" i="5"/>
  <c r="E602" i="5"/>
  <c r="E603" i="5"/>
  <c r="E604" i="5"/>
  <c r="E605" i="5"/>
  <c r="E606" i="5"/>
  <c r="E607" i="5"/>
  <c r="E608" i="5"/>
  <c r="E609" i="5"/>
  <c r="E610" i="5"/>
  <c r="E611" i="5"/>
  <c r="E612" i="5"/>
  <c r="E613" i="5"/>
  <c r="E614" i="5"/>
  <c r="E615" i="5"/>
  <c r="E616" i="5"/>
  <c r="E617" i="5"/>
  <c r="E618" i="5"/>
  <c r="E619" i="5"/>
  <c r="E620" i="5"/>
  <c r="E621" i="5"/>
  <c r="E622" i="5"/>
  <c r="E623" i="5"/>
  <c r="E624" i="5"/>
  <c r="E625" i="5"/>
  <c r="E626" i="5"/>
  <c r="E627" i="5"/>
  <c r="E628" i="5"/>
  <c r="E629" i="5"/>
  <c r="E630" i="5"/>
  <c r="E631" i="5"/>
  <c r="E632" i="5"/>
  <c r="E633" i="5"/>
  <c r="E634" i="5"/>
  <c r="E635" i="5"/>
  <c r="E636" i="5"/>
  <c r="E637" i="5"/>
  <c r="E638" i="5"/>
  <c r="E639" i="5"/>
  <c r="E640" i="5"/>
  <c r="E641" i="5"/>
  <c r="E642" i="5"/>
  <c r="E643" i="5"/>
  <c r="E644" i="5"/>
  <c r="E645" i="5"/>
  <c r="E646" i="5"/>
  <c r="E647" i="5"/>
  <c r="E648" i="5"/>
  <c r="E649" i="5"/>
  <c r="E650" i="5"/>
  <c r="E651" i="5"/>
  <c r="E652" i="5"/>
  <c r="E653" i="5"/>
  <c r="E654" i="5"/>
  <c r="E655" i="5"/>
  <c r="E656" i="5"/>
  <c r="E657" i="5"/>
  <c r="E658" i="5"/>
  <c r="E659" i="5"/>
  <c r="E660" i="5"/>
  <c r="E661" i="5"/>
  <c r="E662" i="5"/>
  <c r="E663" i="5"/>
  <c r="E664" i="5"/>
  <c r="E665" i="5"/>
  <c r="E666" i="5"/>
  <c r="E667" i="5"/>
  <c r="E668" i="5"/>
  <c r="E669" i="5"/>
  <c r="E670" i="5"/>
  <c r="E671" i="5"/>
  <c r="E672" i="5"/>
  <c r="E673" i="5"/>
  <c r="E674" i="5"/>
  <c r="E675" i="5"/>
  <c r="E676" i="5"/>
  <c r="E677" i="5"/>
  <c r="E678" i="5"/>
  <c r="E679" i="5"/>
  <c r="E680" i="5"/>
  <c r="E681" i="5"/>
  <c r="E682" i="5"/>
  <c r="E683" i="5"/>
  <c r="E684" i="5"/>
  <c r="E685" i="5"/>
  <c r="E686" i="5"/>
  <c r="E687" i="5"/>
  <c r="E688" i="5"/>
  <c r="E689" i="5"/>
  <c r="E690" i="5"/>
  <c r="E691" i="5"/>
  <c r="E692" i="5"/>
  <c r="E693" i="5"/>
  <c r="E694" i="5"/>
  <c r="E695" i="5"/>
  <c r="E696" i="5"/>
  <c r="E697" i="5"/>
  <c r="E698" i="5"/>
  <c r="E699" i="5"/>
  <c r="E700" i="5"/>
  <c r="E701" i="5"/>
  <c r="E702" i="5"/>
  <c r="E703" i="5"/>
  <c r="E704" i="5"/>
  <c r="E705" i="5"/>
  <c r="E706" i="5"/>
  <c r="E707" i="5"/>
  <c r="E708" i="5"/>
  <c r="E709" i="5"/>
  <c r="E710" i="5"/>
  <c r="E711" i="5"/>
  <c r="E712" i="5"/>
  <c r="E713" i="5"/>
  <c r="E714" i="5"/>
  <c r="E715" i="5"/>
  <c r="E716" i="5"/>
  <c r="E717" i="5"/>
  <c r="E718" i="5"/>
  <c r="E719" i="5"/>
  <c r="E720" i="5"/>
  <c r="E721" i="5"/>
  <c r="E722" i="5"/>
  <c r="E723" i="5"/>
  <c r="E724" i="5"/>
  <c r="E725" i="5"/>
  <c r="E726" i="5"/>
  <c r="E727" i="5"/>
  <c r="E728" i="5"/>
  <c r="E729" i="5"/>
  <c r="E730" i="5"/>
  <c r="E731" i="5"/>
  <c r="E732" i="5"/>
  <c r="E733" i="5"/>
  <c r="E734" i="5"/>
  <c r="E735" i="5"/>
  <c r="E736" i="5"/>
  <c r="E737" i="5"/>
  <c r="E738" i="5"/>
  <c r="E739" i="5"/>
  <c r="E740" i="5"/>
  <c r="E741" i="5"/>
  <c r="E742" i="5"/>
  <c r="E743" i="5"/>
  <c r="E744" i="5"/>
  <c r="E745" i="5"/>
  <c r="E746" i="5"/>
  <c r="E747" i="5"/>
  <c r="E748" i="5"/>
  <c r="E749" i="5"/>
  <c r="E750" i="5"/>
  <c r="E751" i="5"/>
  <c r="E752" i="5"/>
  <c r="E753" i="5"/>
  <c r="E754" i="5"/>
  <c r="E755" i="5"/>
  <c r="E756" i="5"/>
  <c r="E757" i="5"/>
  <c r="E758" i="5"/>
  <c r="E759" i="5"/>
  <c r="E760" i="5"/>
  <c r="E761" i="5"/>
  <c r="E762" i="5"/>
  <c r="E763" i="5"/>
  <c r="E764" i="5"/>
  <c r="E765" i="5"/>
  <c r="E766" i="5"/>
  <c r="E767" i="5"/>
  <c r="E768" i="5"/>
  <c r="E769" i="5"/>
  <c r="E770" i="5"/>
  <c r="E771" i="5"/>
  <c r="E772" i="5"/>
  <c r="E773" i="5"/>
  <c r="E774" i="5"/>
  <c r="E775" i="5"/>
  <c r="E776" i="5"/>
  <c r="E777" i="5"/>
  <c r="E778" i="5"/>
  <c r="E779" i="5"/>
  <c r="E780" i="5"/>
  <c r="E781" i="5"/>
  <c r="E782" i="5"/>
  <c r="E783" i="5"/>
  <c r="E784" i="5"/>
  <c r="E785" i="5"/>
  <c r="E786" i="5"/>
  <c r="E787" i="5"/>
  <c r="E788" i="5"/>
  <c r="E789" i="5"/>
  <c r="E790" i="5"/>
  <c r="E791" i="5"/>
  <c r="E792" i="5"/>
  <c r="E793" i="5"/>
  <c r="E794" i="5"/>
  <c r="E795" i="5"/>
  <c r="E796" i="5"/>
  <c r="E797" i="5"/>
  <c r="E798" i="5"/>
  <c r="E799" i="5"/>
  <c r="E800" i="5"/>
  <c r="E801" i="5"/>
  <c r="E802" i="5"/>
  <c r="E803" i="5"/>
  <c r="E804" i="5"/>
  <c r="F9" i="6"/>
  <c r="F222" i="6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62" i="5"/>
  <c r="C63" i="5"/>
  <c r="C64" i="5"/>
  <c r="C65" i="5"/>
  <c r="C66" i="5"/>
  <c r="C67" i="5"/>
  <c r="C68" i="5"/>
  <c r="C69" i="5"/>
  <c r="C70" i="5"/>
  <c r="C71" i="5"/>
  <c r="C72" i="5"/>
  <c r="C73" i="5"/>
  <c r="C74" i="5"/>
  <c r="C75" i="5"/>
  <c r="C76" i="5"/>
  <c r="C77" i="5"/>
  <c r="C78" i="5"/>
  <c r="C79" i="5"/>
  <c r="C80" i="5"/>
  <c r="C81" i="5"/>
  <c r="C82" i="5"/>
  <c r="C83" i="5"/>
  <c r="C84" i="5"/>
  <c r="C85" i="5"/>
  <c r="C86" i="5"/>
  <c r="C87" i="5"/>
  <c r="C88" i="5"/>
  <c r="C89" i="5"/>
  <c r="C90" i="5"/>
  <c r="C91" i="5"/>
  <c r="C92" i="5"/>
  <c r="C93" i="5"/>
  <c r="C94" i="5"/>
  <c r="C95" i="5"/>
  <c r="C96" i="5"/>
  <c r="C97" i="5"/>
  <c r="C98" i="5"/>
  <c r="C99" i="5"/>
  <c r="C100" i="5"/>
  <c r="C101" i="5"/>
  <c r="C102" i="5"/>
  <c r="C103" i="5"/>
  <c r="C104" i="5"/>
  <c r="C105" i="5"/>
  <c r="C106" i="5"/>
  <c r="C107" i="5"/>
  <c r="C108" i="5"/>
  <c r="C109" i="5"/>
  <c r="C110" i="5"/>
  <c r="C111" i="5"/>
  <c r="C112" i="5"/>
  <c r="C113" i="5"/>
  <c r="C114" i="5"/>
  <c r="C115" i="5"/>
  <c r="C116" i="5"/>
  <c r="C117" i="5"/>
  <c r="C118" i="5"/>
  <c r="C119" i="5"/>
  <c r="C120" i="5"/>
  <c r="C121" i="5"/>
  <c r="C122" i="5"/>
  <c r="C123" i="5"/>
  <c r="C124" i="5"/>
  <c r="C125" i="5"/>
  <c r="C126" i="5"/>
  <c r="C127" i="5"/>
  <c r="C128" i="5"/>
  <c r="C129" i="5"/>
  <c r="C130" i="5"/>
  <c r="C131" i="5"/>
  <c r="C132" i="5"/>
  <c r="C133" i="5"/>
  <c r="C134" i="5"/>
  <c r="C135" i="5"/>
  <c r="C136" i="5"/>
  <c r="C137" i="5"/>
  <c r="C138" i="5"/>
  <c r="C139" i="5"/>
  <c r="C140" i="5"/>
  <c r="C141" i="5"/>
  <c r="C142" i="5"/>
  <c r="C143" i="5"/>
  <c r="C144" i="5"/>
  <c r="C145" i="5"/>
  <c r="C146" i="5"/>
  <c r="C147" i="5"/>
  <c r="C148" i="5"/>
  <c r="C149" i="5"/>
  <c r="C150" i="5"/>
  <c r="C151" i="5"/>
  <c r="C152" i="5"/>
  <c r="C153" i="5"/>
  <c r="C154" i="5"/>
  <c r="C155" i="5"/>
  <c r="C156" i="5"/>
  <c r="C157" i="5"/>
  <c r="C158" i="5"/>
  <c r="C159" i="5"/>
  <c r="C160" i="5"/>
  <c r="C161" i="5"/>
  <c r="C162" i="5"/>
  <c r="C163" i="5"/>
  <c r="C164" i="5"/>
  <c r="C165" i="5"/>
  <c r="C166" i="5"/>
  <c r="C167" i="5"/>
  <c r="C168" i="5"/>
  <c r="C169" i="5"/>
  <c r="C170" i="5"/>
  <c r="C171" i="5"/>
  <c r="C172" i="5"/>
  <c r="C173" i="5"/>
  <c r="C174" i="5"/>
  <c r="C175" i="5"/>
  <c r="C176" i="5"/>
  <c r="C177" i="5"/>
  <c r="C178" i="5"/>
  <c r="C179" i="5"/>
  <c r="C180" i="5"/>
  <c r="C181" i="5"/>
  <c r="C182" i="5"/>
  <c r="C183" i="5"/>
  <c r="C184" i="5"/>
  <c r="C185" i="5"/>
  <c r="C186" i="5"/>
  <c r="C187" i="5"/>
  <c r="C188" i="5"/>
  <c r="C189" i="5"/>
  <c r="C190" i="5"/>
  <c r="C191" i="5"/>
  <c r="C192" i="5"/>
  <c r="C193" i="5"/>
  <c r="C194" i="5"/>
  <c r="C195" i="5"/>
  <c r="C196" i="5"/>
  <c r="C197" i="5"/>
  <c r="C198" i="5"/>
  <c r="C199" i="5"/>
  <c r="C200" i="5"/>
  <c r="C201" i="5"/>
  <c r="C202" i="5"/>
  <c r="C203" i="5"/>
  <c r="C204" i="5"/>
  <c r="C205" i="5"/>
  <c r="C206" i="5"/>
  <c r="C207" i="5"/>
  <c r="C208" i="5"/>
  <c r="C209" i="5"/>
  <c r="C210" i="5"/>
  <c r="C211" i="5"/>
  <c r="C212" i="5"/>
  <c r="C213" i="5"/>
  <c r="C214" i="5"/>
  <c r="C215" i="5"/>
  <c r="C216" i="5"/>
  <c r="C217" i="5"/>
  <c r="C218" i="5"/>
  <c r="C219" i="5"/>
  <c r="C220" i="5"/>
  <c r="C221" i="5"/>
  <c r="C222" i="5"/>
  <c r="C223" i="5"/>
  <c r="C224" i="5"/>
  <c r="C225" i="5"/>
  <c r="C226" i="5"/>
  <c r="C227" i="5"/>
  <c r="C228" i="5"/>
  <c r="C229" i="5"/>
  <c r="C230" i="5"/>
  <c r="C231" i="5"/>
  <c r="C232" i="5"/>
  <c r="C233" i="5"/>
  <c r="C234" i="5"/>
  <c r="C235" i="5"/>
  <c r="C236" i="5"/>
  <c r="C237" i="5"/>
  <c r="C238" i="5"/>
  <c r="C239" i="5"/>
  <c r="C240" i="5"/>
  <c r="C241" i="5"/>
  <c r="C242" i="5"/>
  <c r="C243" i="5"/>
  <c r="C244" i="5"/>
  <c r="C245" i="5"/>
  <c r="C246" i="5"/>
  <c r="C247" i="5"/>
  <c r="C248" i="5"/>
  <c r="C249" i="5"/>
  <c r="C250" i="5"/>
  <c r="C251" i="5"/>
  <c r="C252" i="5"/>
  <c r="C253" i="5"/>
  <c r="C254" i="5"/>
  <c r="C255" i="5"/>
  <c r="C256" i="5"/>
  <c r="C257" i="5"/>
  <c r="C258" i="5"/>
  <c r="C259" i="5"/>
  <c r="C260" i="5"/>
  <c r="C261" i="5"/>
  <c r="C262" i="5"/>
  <c r="C263" i="5"/>
  <c r="C264" i="5"/>
  <c r="C265" i="5"/>
  <c r="C266" i="5"/>
  <c r="C267" i="5"/>
  <c r="C268" i="5"/>
  <c r="C269" i="5"/>
  <c r="C270" i="5"/>
  <c r="C271" i="5"/>
  <c r="C272" i="5"/>
  <c r="C273" i="5"/>
  <c r="C274" i="5"/>
  <c r="C275" i="5"/>
  <c r="C276" i="5"/>
  <c r="C277" i="5"/>
  <c r="C278" i="5"/>
  <c r="C279" i="5"/>
  <c r="C280" i="5"/>
  <c r="C281" i="5"/>
  <c r="C282" i="5"/>
  <c r="C283" i="5"/>
  <c r="C284" i="5"/>
  <c r="C285" i="5"/>
  <c r="C286" i="5"/>
  <c r="C287" i="5"/>
  <c r="C288" i="5"/>
  <c r="C289" i="5"/>
  <c r="C290" i="5"/>
  <c r="C291" i="5"/>
  <c r="C292" i="5"/>
  <c r="C293" i="5"/>
  <c r="C294" i="5"/>
  <c r="C295" i="5"/>
  <c r="C296" i="5"/>
  <c r="C297" i="5"/>
  <c r="C298" i="5"/>
  <c r="C299" i="5"/>
  <c r="C300" i="5"/>
  <c r="C301" i="5"/>
  <c r="C302" i="5"/>
  <c r="C303" i="5"/>
  <c r="C304" i="5"/>
  <c r="C305" i="5"/>
  <c r="C306" i="5"/>
  <c r="C307" i="5"/>
  <c r="C308" i="5"/>
  <c r="C309" i="5"/>
  <c r="C310" i="5"/>
  <c r="C311" i="5"/>
  <c r="C312" i="5"/>
  <c r="C313" i="5"/>
  <c r="C314" i="5"/>
  <c r="C315" i="5"/>
  <c r="C316" i="5"/>
  <c r="C317" i="5"/>
  <c r="C318" i="5"/>
  <c r="C319" i="5"/>
  <c r="C320" i="5"/>
  <c r="C321" i="5"/>
  <c r="C322" i="5"/>
  <c r="C323" i="5"/>
  <c r="C324" i="5"/>
  <c r="C325" i="5"/>
  <c r="C326" i="5"/>
  <c r="C327" i="5"/>
  <c r="C328" i="5"/>
  <c r="C329" i="5"/>
  <c r="C330" i="5"/>
  <c r="C331" i="5"/>
  <c r="C332" i="5"/>
  <c r="C333" i="5"/>
  <c r="C334" i="5"/>
  <c r="C335" i="5"/>
  <c r="C336" i="5"/>
  <c r="C337" i="5"/>
  <c r="C338" i="5"/>
  <c r="C339" i="5"/>
  <c r="C340" i="5"/>
  <c r="C341" i="5"/>
  <c r="C342" i="5"/>
  <c r="C343" i="5"/>
  <c r="C344" i="5"/>
  <c r="C345" i="5"/>
  <c r="C346" i="5"/>
  <c r="C347" i="5"/>
  <c r="C348" i="5"/>
  <c r="C349" i="5"/>
  <c r="C350" i="5"/>
  <c r="C351" i="5"/>
  <c r="C352" i="5"/>
  <c r="C353" i="5"/>
  <c r="C354" i="5"/>
  <c r="C355" i="5"/>
  <c r="C356" i="5"/>
  <c r="C357" i="5"/>
  <c r="C358" i="5"/>
  <c r="C359" i="5"/>
  <c r="C360" i="5"/>
  <c r="C361" i="5"/>
  <c r="C362" i="5"/>
  <c r="C363" i="5"/>
  <c r="C364" i="5"/>
  <c r="C365" i="5"/>
  <c r="C366" i="5"/>
  <c r="C367" i="5"/>
  <c r="C368" i="5"/>
  <c r="C369" i="5"/>
  <c r="C370" i="5"/>
  <c r="C371" i="5"/>
  <c r="C372" i="5"/>
  <c r="C373" i="5"/>
  <c r="C374" i="5"/>
  <c r="C375" i="5"/>
  <c r="C376" i="5"/>
  <c r="C377" i="5"/>
  <c r="C378" i="5"/>
  <c r="C379" i="5"/>
  <c r="C380" i="5"/>
  <c r="C381" i="5"/>
  <c r="C382" i="5"/>
  <c r="C383" i="5"/>
  <c r="C384" i="5"/>
  <c r="C385" i="5"/>
  <c r="C386" i="5"/>
  <c r="C387" i="5"/>
  <c r="C388" i="5"/>
  <c r="C389" i="5"/>
  <c r="C390" i="5"/>
  <c r="C391" i="5"/>
  <c r="C392" i="5"/>
  <c r="C393" i="5"/>
  <c r="C394" i="5"/>
  <c r="C395" i="5"/>
  <c r="C396" i="5"/>
  <c r="C397" i="5"/>
  <c r="C398" i="5"/>
  <c r="C399" i="5"/>
  <c r="C400" i="5"/>
  <c r="C401" i="5"/>
  <c r="C402" i="5"/>
  <c r="C403" i="5"/>
  <c r="C404" i="5"/>
  <c r="C405" i="5"/>
  <c r="C406" i="5"/>
  <c r="C407" i="5"/>
  <c r="C408" i="5"/>
  <c r="C409" i="5"/>
  <c r="C410" i="5"/>
  <c r="C411" i="5"/>
  <c r="C412" i="5"/>
  <c r="C413" i="5"/>
  <c r="C414" i="5"/>
  <c r="C415" i="5"/>
  <c r="C416" i="5"/>
  <c r="C417" i="5"/>
  <c r="C418" i="5"/>
  <c r="C419" i="5"/>
  <c r="C420" i="5"/>
  <c r="C421" i="5"/>
  <c r="C422" i="5"/>
  <c r="C423" i="5"/>
  <c r="C424" i="5"/>
  <c r="C425" i="5"/>
  <c r="C426" i="5"/>
  <c r="C427" i="5"/>
  <c r="C428" i="5"/>
  <c r="C429" i="5"/>
  <c r="C430" i="5"/>
  <c r="C431" i="5"/>
  <c r="C432" i="5"/>
  <c r="C433" i="5"/>
  <c r="C434" i="5"/>
  <c r="C435" i="5"/>
  <c r="C436" i="5"/>
  <c r="C437" i="5"/>
  <c r="C438" i="5"/>
  <c r="C439" i="5"/>
  <c r="C440" i="5"/>
  <c r="C441" i="5"/>
  <c r="C442" i="5"/>
  <c r="C443" i="5"/>
  <c r="C444" i="5"/>
  <c r="C445" i="5"/>
  <c r="C446" i="5"/>
  <c r="C447" i="5"/>
  <c r="C448" i="5"/>
  <c r="C449" i="5"/>
  <c r="C450" i="5"/>
  <c r="C451" i="5"/>
  <c r="C452" i="5"/>
  <c r="C453" i="5"/>
  <c r="C454" i="5"/>
  <c r="C455" i="5"/>
  <c r="C456" i="5"/>
  <c r="C457" i="5"/>
  <c r="C458" i="5"/>
  <c r="C459" i="5"/>
  <c r="C460" i="5"/>
  <c r="C461" i="5"/>
  <c r="C462" i="5"/>
  <c r="C463" i="5"/>
  <c r="C464" i="5"/>
  <c r="C465" i="5"/>
  <c r="C466" i="5"/>
  <c r="C467" i="5"/>
  <c r="C468" i="5"/>
  <c r="C469" i="5"/>
  <c r="C470" i="5"/>
  <c r="C471" i="5"/>
  <c r="C472" i="5"/>
  <c r="C473" i="5"/>
  <c r="C474" i="5"/>
  <c r="C475" i="5"/>
  <c r="C476" i="5"/>
  <c r="C477" i="5"/>
  <c r="C478" i="5"/>
  <c r="C479" i="5"/>
  <c r="C480" i="5"/>
  <c r="C481" i="5"/>
  <c r="C482" i="5"/>
  <c r="C483" i="5"/>
  <c r="C484" i="5"/>
  <c r="C485" i="5"/>
  <c r="C486" i="5"/>
  <c r="C487" i="5"/>
  <c r="C488" i="5"/>
  <c r="C489" i="5"/>
  <c r="C490" i="5"/>
  <c r="C491" i="5"/>
  <c r="C492" i="5"/>
  <c r="C493" i="5"/>
  <c r="C494" i="5"/>
  <c r="C495" i="5"/>
  <c r="C496" i="5"/>
  <c r="C497" i="5"/>
  <c r="C498" i="5"/>
  <c r="C499" i="5"/>
  <c r="C500" i="5"/>
  <c r="C501" i="5"/>
  <c r="C502" i="5"/>
  <c r="C503" i="5"/>
  <c r="C504" i="5"/>
  <c r="C505" i="5"/>
  <c r="C506" i="5"/>
  <c r="C507" i="5"/>
  <c r="C508" i="5"/>
  <c r="C509" i="5"/>
  <c r="C510" i="5"/>
  <c r="C511" i="5"/>
  <c r="C512" i="5"/>
  <c r="C513" i="5"/>
  <c r="C514" i="5"/>
  <c r="C515" i="5"/>
  <c r="C516" i="5"/>
  <c r="C517" i="5"/>
  <c r="C518" i="5"/>
  <c r="C519" i="5"/>
  <c r="C520" i="5"/>
  <c r="C521" i="5"/>
  <c r="C522" i="5"/>
  <c r="C523" i="5"/>
  <c r="C524" i="5"/>
  <c r="C525" i="5"/>
  <c r="C526" i="5"/>
  <c r="C527" i="5"/>
  <c r="C528" i="5"/>
  <c r="C529" i="5"/>
  <c r="C530" i="5"/>
  <c r="C531" i="5"/>
  <c r="C532" i="5"/>
  <c r="C533" i="5"/>
  <c r="C534" i="5"/>
  <c r="C535" i="5"/>
  <c r="C536" i="5"/>
  <c r="C537" i="5"/>
  <c r="C538" i="5"/>
  <c r="C539" i="5"/>
  <c r="C540" i="5"/>
  <c r="C541" i="5"/>
  <c r="C542" i="5"/>
  <c r="C543" i="5"/>
  <c r="C544" i="5"/>
  <c r="C545" i="5"/>
  <c r="C546" i="5"/>
  <c r="C547" i="5"/>
  <c r="C548" i="5"/>
  <c r="C549" i="5"/>
  <c r="C550" i="5"/>
  <c r="C551" i="5"/>
  <c r="C552" i="5"/>
  <c r="C553" i="5"/>
  <c r="C554" i="5"/>
  <c r="C555" i="5"/>
  <c r="C556" i="5"/>
  <c r="C557" i="5"/>
  <c r="C558" i="5"/>
  <c r="C559" i="5"/>
  <c r="C560" i="5"/>
  <c r="C561" i="5"/>
  <c r="C562" i="5"/>
  <c r="C563" i="5"/>
  <c r="C564" i="5"/>
  <c r="C565" i="5"/>
  <c r="C566" i="5"/>
  <c r="C567" i="5"/>
  <c r="C568" i="5"/>
  <c r="C569" i="5"/>
  <c r="C570" i="5"/>
  <c r="C571" i="5"/>
  <c r="C572" i="5"/>
  <c r="C573" i="5"/>
  <c r="C574" i="5"/>
  <c r="C575" i="5"/>
  <c r="C576" i="5"/>
  <c r="C577" i="5"/>
  <c r="C578" i="5"/>
  <c r="C579" i="5"/>
  <c r="C580" i="5"/>
  <c r="C581" i="5"/>
  <c r="C582" i="5"/>
  <c r="C583" i="5"/>
  <c r="C584" i="5"/>
  <c r="C585" i="5"/>
  <c r="C586" i="5"/>
  <c r="C587" i="5"/>
  <c r="C588" i="5"/>
  <c r="C589" i="5"/>
  <c r="C590" i="5"/>
  <c r="C591" i="5"/>
  <c r="C592" i="5"/>
  <c r="C593" i="5"/>
  <c r="C594" i="5"/>
  <c r="C595" i="5"/>
  <c r="C596" i="5"/>
  <c r="C597" i="5"/>
  <c r="C598" i="5"/>
  <c r="C599" i="5"/>
  <c r="C600" i="5"/>
  <c r="C601" i="5"/>
  <c r="C602" i="5"/>
  <c r="C603" i="5"/>
  <c r="C604" i="5"/>
  <c r="C605" i="5"/>
  <c r="C606" i="5"/>
  <c r="C607" i="5"/>
  <c r="C608" i="5"/>
  <c r="C609" i="5"/>
  <c r="C610" i="5"/>
  <c r="C611" i="5"/>
  <c r="C612" i="5"/>
  <c r="C613" i="5"/>
  <c r="C614" i="5"/>
  <c r="C615" i="5"/>
  <c r="C616" i="5"/>
  <c r="C617" i="5"/>
  <c r="C618" i="5"/>
  <c r="C619" i="5"/>
  <c r="C620" i="5"/>
  <c r="C621" i="5"/>
  <c r="C622" i="5"/>
  <c r="C623" i="5"/>
  <c r="C624" i="5"/>
  <c r="C625" i="5"/>
  <c r="C626" i="5"/>
  <c r="C627" i="5"/>
  <c r="C628" i="5"/>
  <c r="C629" i="5"/>
  <c r="C630" i="5"/>
  <c r="C631" i="5"/>
  <c r="C632" i="5"/>
  <c r="C633" i="5"/>
  <c r="C634" i="5"/>
  <c r="C635" i="5"/>
  <c r="C636" i="5"/>
  <c r="C637" i="5"/>
  <c r="C638" i="5"/>
  <c r="C639" i="5"/>
  <c r="C640" i="5"/>
  <c r="C641" i="5"/>
  <c r="C642" i="5"/>
  <c r="C643" i="5"/>
  <c r="C644" i="5"/>
  <c r="C645" i="5"/>
  <c r="C646" i="5"/>
  <c r="C647" i="5"/>
  <c r="C648" i="5"/>
  <c r="C649" i="5"/>
  <c r="C650" i="5"/>
  <c r="C651" i="5"/>
  <c r="C652" i="5"/>
  <c r="C653" i="5"/>
  <c r="C654" i="5"/>
  <c r="C655" i="5"/>
  <c r="C656" i="5"/>
  <c r="C657" i="5"/>
  <c r="C658" i="5"/>
  <c r="C659" i="5"/>
  <c r="C660" i="5"/>
  <c r="C661" i="5"/>
  <c r="C662" i="5"/>
  <c r="C663" i="5"/>
  <c r="C664" i="5"/>
  <c r="C665" i="5"/>
  <c r="C666" i="5"/>
  <c r="C667" i="5"/>
  <c r="C668" i="5"/>
  <c r="C669" i="5"/>
  <c r="C670" i="5"/>
  <c r="C671" i="5"/>
  <c r="C672" i="5"/>
  <c r="C673" i="5"/>
  <c r="C674" i="5"/>
  <c r="C675" i="5"/>
  <c r="C676" i="5"/>
  <c r="C677" i="5"/>
  <c r="C678" i="5"/>
  <c r="C679" i="5"/>
  <c r="C680" i="5"/>
  <c r="C681" i="5"/>
  <c r="C682" i="5"/>
  <c r="C683" i="5"/>
  <c r="C684" i="5"/>
  <c r="C685" i="5"/>
  <c r="C686" i="5"/>
  <c r="C687" i="5"/>
  <c r="C688" i="5"/>
  <c r="C689" i="5"/>
  <c r="C690" i="5"/>
  <c r="C691" i="5"/>
  <c r="C692" i="5"/>
  <c r="C693" i="5"/>
  <c r="C694" i="5"/>
  <c r="C695" i="5"/>
  <c r="C696" i="5"/>
  <c r="C697" i="5"/>
  <c r="C698" i="5"/>
  <c r="C699" i="5"/>
  <c r="C700" i="5"/>
  <c r="C701" i="5"/>
  <c r="C702" i="5"/>
  <c r="C703" i="5"/>
  <c r="C704" i="5"/>
  <c r="C705" i="5"/>
  <c r="C706" i="5"/>
  <c r="C707" i="5"/>
  <c r="C708" i="5"/>
  <c r="C709" i="5"/>
  <c r="C710" i="5"/>
  <c r="C711" i="5"/>
  <c r="C712" i="5"/>
  <c r="C713" i="5"/>
  <c r="C714" i="5"/>
  <c r="C715" i="5"/>
  <c r="C716" i="5"/>
  <c r="C717" i="5"/>
  <c r="C718" i="5"/>
  <c r="C719" i="5"/>
  <c r="C720" i="5"/>
  <c r="C721" i="5"/>
  <c r="C722" i="5"/>
  <c r="C723" i="5"/>
  <c r="C724" i="5"/>
  <c r="C725" i="5"/>
  <c r="C726" i="5"/>
  <c r="C727" i="5"/>
  <c r="C728" i="5"/>
  <c r="C729" i="5"/>
  <c r="C730" i="5"/>
  <c r="C731" i="5"/>
  <c r="C732" i="5"/>
  <c r="C733" i="5"/>
  <c r="C734" i="5"/>
  <c r="C735" i="5"/>
  <c r="C736" i="5"/>
  <c r="C737" i="5"/>
  <c r="C738" i="5"/>
  <c r="C739" i="5"/>
  <c r="C740" i="5"/>
  <c r="C741" i="5"/>
  <c r="C742" i="5"/>
  <c r="C743" i="5"/>
  <c r="C744" i="5"/>
  <c r="C745" i="5"/>
  <c r="C746" i="5"/>
  <c r="C747" i="5"/>
  <c r="C748" i="5"/>
  <c r="C749" i="5"/>
  <c r="C750" i="5"/>
  <c r="C751" i="5"/>
  <c r="C752" i="5"/>
  <c r="C753" i="5"/>
  <c r="C754" i="5"/>
  <c r="C755" i="5"/>
  <c r="C756" i="5"/>
  <c r="C757" i="5"/>
  <c r="C758" i="5"/>
  <c r="C759" i="5"/>
  <c r="C760" i="5"/>
  <c r="C761" i="5"/>
  <c r="C762" i="5"/>
  <c r="C763" i="5"/>
  <c r="C764" i="5"/>
  <c r="C765" i="5"/>
  <c r="C766" i="5"/>
  <c r="C767" i="5"/>
  <c r="C768" i="5"/>
  <c r="C769" i="5"/>
  <c r="C770" i="5"/>
  <c r="C771" i="5"/>
  <c r="C772" i="5"/>
  <c r="C773" i="5"/>
  <c r="C774" i="5"/>
  <c r="C775" i="5"/>
  <c r="C776" i="5"/>
  <c r="C777" i="5"/>
  <c r="C778" i="5"/>
  <c r="C779" i="5"/>
  <c r="C780" i="5"/>
  <c r="C781" i="5"/>
  <c r="C782" i="5"/>
  <c r="C783" i="5"/>
  <c r="C784" i="5"/>
  <c r="C785" i="5"/>
  <c r="C786" i="5"/>
  <c r="C787" i="5"/>
  <c r="C788" i="5"/>
  <c r="C789" i="5"/>
  <c r="C790" i="5"/>
  <c r="C791" i="5"/>
  <c r="C792" i="5"/>
  <c r="C793" i="5"/>
  <c r="C794" i="5"/>
  <c r="C795" i="5"/>
  <c r="C796" i="5"/>
  <c r="C797" i="5"/>
  <c r="C798" i="5"/>
  <c r="C799" i="5"/>
  <c r="C800" i="5"/>
  <c r="C801" i="5"/>
  <c r="C802" i="5"/>
  <c r="C803" i="5"/>
  <c r="C804" i="5"/>
  <c r="C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4" i="5"/>
  <c r="D165" i="5"/>
  <c r="D166" i="5"/>
  <c r="D167" i="5"/>
  <c r="D168" i="5"/>
  <c r="D169" i="5"/>
  <c r="D170" i="5"/>
  <c r="D171" i="5"/>
  <c r="D172" i="5"/>
  <c r="D173" i="5"/>
  <c r="D174" i="5"/>
  <c r="D175" i="5"/>
  <c r="D176" i="5"/>
  <c r="D177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4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290" i="5"/>
  <c r="D291" i="5"/>
  <c r="D292" i="5"/>
  <c r="D293" i="5"/>
  <c r="D294" i="5"/>
  <c r="D295" i="5"/>
  <c r="D296" i="5"/>
  <c r="D297" i="5"/>
  <c r="D298" i="5"/>
  <c r="D299" i="5"/>
  <c r="D300" i="5"/>
  <c r="D301" i="5"/>
  <c r="D302" i="5"/>
  <c r="D303" i="5"/>
  <c r="D304" i="5"/>
  <c r="D305" i="5"/>
  <c r="D306" i="5"/>
  <c r="D307" i="5"/>
  <c r="D308" i="5"/>
  <c r="D309" i="5"/>
  <c r="D310" i="5"/>
  <c r="D311" i="5"/>
  <c r="D312" i="5"/>
  <c r="D313" i="5"/>
  <c r="D314" i="5"/>
  <c r="D315" i="5"/>
  <c r="D316" i="5"/>
  <c r="D317" i="5"/>
  <c r="D318" i="5"/>
  <c r="D319" i="5"/>
  <c r="D320" i="5"/>
  <c r="D321" i="5"/>
  <c r="D322" i="5"/>
  <c r="D323" i="5"/>
  <c r="D324" i="5"/>
  <c r="D325" i="5"/>
  <c r="D326" i="5"/>
  <c r="D327" i="5"/>
  <c r="D328" i="5"/>
  <c r="D329" i="5"/>
  <c r="D330" i="5"/>
  <c r="D331" i="5"/>
  <c r="D332" i="5"/>
  <c r="D333" i="5"/>
  <c r="D334" i="5"/>
  <c r="D335" i="5"/>
  <c r="D336" i="5"/>
  <c r="D337" i="5"/>
  <c r="D338" i="5"/>
  <c r="D339" i="5"/>
  <c r="D340" i="5"/>
  <c r="D341" i="5"/>
  <c r="D342" i="5"/>
  <c r="D343" i="5"/>
  <c r="D344" i="5"/>
  <c r="D345" i="5"/>
  <c r="D346" i="5"/>
  <c r="D347" i="5"/>
  <c r="D348" i="5"/>
  <c r="D349" i="5"/>
  <c r="D350" i="5"/>
  <c r="D351" i="5"/>
  <c r="D352" i="5"/>
  <c r="D353" i="5"/>
  <c r="D354" i="5"/>
  <c r="D355" i="5"/>
  <c r="D356" i="5"/>
  <c r="D357" i="5"/>
  <c r="D358" i="5"/>
  <c r="D359" i="5"/>
  <c r="D360" i="5"/>
  <c r="D361" i="5"/>
  <c r="D362" i="5"/>
  <c r="D363" i="5"/>
  <c r="D364" i="5"/>
  <c r="D365" i="5"/>
  <c r="D366" i="5"/>
  <c r="D367" i="5"/>
  <c r="D368" i="5"/>
  <c r="D369" i="5"/>
  <c r="D370" i="5"/>
  <c r="D371" i="5"/>
  <c r="D372" i="5"/>
  <c r="D373" i="5"/>
  <c r="D374" i="5"/>
  <c r="D375" i="5"/>
  <c r="D376" i="5"/>
  <c r="D377" i="5"/>
  <c r="D378" i="5"/>
  <c r="D379" i="5"/>
  <c r="D380" i="5"/>
  <c r="D381" i="5"/>
  <c r="D382" i="5"/>
  <c r="D383" i="5"/>
  <c r="D384" i="5"/>
  <c r="D385" i="5"/>
  <c r="D386" i="5"/>
  <c r="D387" i="5"/>
  <c r="D388" i="5"/>
  <c r="D389" i="5"/>
  <c r="D390" i="5"/>
  <c r="D391" i="5"/>
  <c r="D392" i="5"/>
  <c r="D393" i="5"/>
  <c r="D394" i="5"/>
  <c r="D395" i="5"/>
  <c r="D396" i="5"/>
  <c r="D397" i="5"/>
  <c r="D398" i="5"/>
  <c r="D399" i="5"/>
  <c r="D400" i="5"/>
  <c r="D401" i="5"/>
  <c r="D402" i="5"/>
  <c r="D403" i="5"/>
  <c r="D404" i="5"/>
  <c r="D405" i="5"/>
  <c r="D406" i="5"/>
  <c r="D407" i="5"/>
  <c r="D408" i="5"/>
  <c r="D409" i="5"/>
  <c r="D410" i="5"/>
  <c r="D411" i="5"/>
  <c r="D412" i="5"/>
  <c r="D413" i="5"/>
  <c r="D414" i="5"/>
  <c r="D415" i="5"/>
  <c r="D416" i="5"/>
  <c r="D417" i="5"/>
  <c r="D418" i="5"/>
  <c r="D419" i="5"/>
  <c r="D420" i="5"/>
  <c r="D421" i="5"/>
  <c r="D422" i="5"/>
  <c r="D423" i="5"/>
  <c r="D424" i="5"/>
  <c r="D425" i="5"/>
  <c r="D426" i="5"/>
  <c r="D427" i="5"/>
  <c r="D428" i="5"/>
  <c r="D429" i="5"/>
  <c r="D430" i="5"/>
  <c r="D431" i="5"/>
  <c r="D432" i="5"/>
  <c r="D433" i="5"/>
  <c r="D434" i="5"/>
  <c r="D435" i="5"/>
  <c r="D436" i="5"/>
  <c r="D437" i="5"/>
  <c r="D438" i="5"/>
  <c r="D439" i="5"/>
  <c r="D440" i="5"/>
  <c r="D441" i="5"/>
  <c r="D442" i="5"/>
  <c r="D443" i="5"/>
  <c r="D444" i="5"/>
  <c r="D445" i="5"/>
  <c r="D446" i="5"/>
  <c r="D447" i="5"/>
  <c r="D448" i="5"/>
  <c r="D449" i="5"/>
  <c r="D450" i="5"/>
  <c r="D451" i="5"/>
  <c r="D452" i="5"/>
  <c r="D453" i="5"/>
  <c r="D454" i="5"/>
  <c r="D455" i="5"/>
  <c r="D456" i="5"/>
  <c r="D457" i="5"/>
  <c r="D458" i="5"/>
  <c r="D459" i="5"/>
  <c r="D460" i="5"/>
  <c r="D461" i="5"/>
  <c r="D462" i="5"/>
  <c r="D463" i="5"/>
  <c r="D464" i="5"/>
  <c r="D465" i="5"/>
  <c r="D466" i="5"/>
  <c r="D467" i="5"/>
  <c r="D468" i="5"/>
  <c r="D469" i="5"/>
  <c r="D470" i="5"/>
  <c r="D471" i="5"/>
  <c r="D472" i="5"/>
  <c r="D473" i="5"/>
  <c r="D474" i="5"/>
  <c r="D475" i="5"/>
  <c r="D476" i="5"/>
  <c r="D477" i="5"/>
  <c r="D478" i="5"/>
  <c r="D479" i="5"/>
  <c r="D480" i="5"/>
  <c r="D481" i="5"/>
  <c r="D482" i="5"/>
  <c r="D483" i="5"/>
  <c r="D484" i="5"/>
  <c r="D485" i="5"/>
  <c r="D486" i="5"/>
  <c r="D487" i="5"/>
  <c r="D488" i="5"/>
  <c r="D489" i="5"/>
  <c r="D490" i="5"/>
  <c r="D491" i="5"/>
  <c r="D492" i="5"/>
  <c r="D493" i="5"/>
  <c r="D494" i="5"/>
  <c r="D495" i="5"/>
  <c r="D496" i="5"/>
  <c r="D497" i="5"/>
  <c r="D498" i="5"/>
  <c r="D499" i="5"/>
  <c r="D500" i="5"/>
  <c r="D501" i="5"/>
  <c r="D502" i="5"/>
  <c r="D503" i="5"/>
  <c r="D504" i="5"/>
  <c r="D505" i="5"/>
  <c r="D506" i="5"/>
  <c r="D507" i="5"/>
  <c r="D508" i="5"/>
  <c r="D509" i="5"/>
  <c r="D510" i="5"/>
  <c r="D511" i="5"/>
  <c r="D512" i="5"/>
  <c r="D513" i="5"/>
  <c r="D514" i="5"/>
  <c r="D515" i="5"/>
  <c r="D516" i="5"/>
  <c r="D517" i="5"/>
  <c r="D518" i="5"/>
  <c r="D519" i="5"/>
  <c r="D520" i="5"/>
  <c r="D521" i="5"/>
  <c r="D522" i="5"/>
  <c r="D523" i="5"/>
  <c r="D524" i="5"/>
  <c r="D525" i="5"/>
  <c r="D526" i="5"/>
  <c r="D527" i="5"/>
  <c r="D528" i="5"/>
  <c r="D529" i="5"/>
  <c r="D530" i="5"/>
  <c r="D531" i="5"/>
  <c r="D532" i="5"/>
  <c r="D533" i="5"/>
  <c r="D534" i="5"/>
  <c r="D535" i="5"/>
  <c r="D536" i="5"/>
  <c r="D537" i="5"/>
  <c r="D538" i="5"/>
  <c r="D539" i="5"/>
  <c r="D540" i="5"/>
  <c r="D541" i="5"/>
  <c r="D542" i="5"/>
  <c r="D543" i="5"/>
  <c r="D544" i="5"/>
  <c r="D545" i="5"/>
  <c r="D546" i="5"/>
  <c r="D547" i="5"/>
  <c r="D548" i="5"/>
  <c r="D549" i="5"/>
  <c r="D550" i="5"/>
  <c r="D551" i="5"/>
  <c r="D552" i="5"/>
  <c r="D553" i="5"/>
  <c r="D554" i="5"/>
  <c r="D555" i="5"/>
  <c r="D556" i="5"/>
  <c r="D557" i="5"/>
  <c r="D558" i="5"/>
  <c r="D559" i="5"/>
  <c r="D560" i="5"/>
  <c r="D561" i="5"/>
  <c r="D562" i="5"/>
  <c r="D563" i="5"/>
  <c r="D564" i="5"/>
  <c r="D565" i="5"/>
  <c r="D566" i="5"/>
  <c r="D567" i="5"/>
  <c r="D568" i="5"/>
  <c r="D569" i="5"/>
  <c r="D570" i="5"/>
  <c r="D571" i="5"/>
  <c r="D572" i="5"/>
  <c r="D573" i="5"/>
  <c r="D574" i="5"/>
  <c r="D575" i="5"/>
  <c r="D576" i="5"/>
  <c r="D577" i="5"/>
  <c r="D578" i="5"/>
  <c r="D579" i="5"/>
  <c r="D580" i="5"/>
  <c r="D581" i="5"/>
  <c r="D582" i="5"/>
  <c r="D583" i="5"/>
  <c r="D584" i="5"/>
  <c r="D585" i="5"/>
  <c r="D586" i="5"/>
  <c r="D587" i="5"/>
  <c r="D588" i="5"/>
  <c r="D589" i="5"/>
  <c r="D590" i="5"/>
  <c r="D591" i="5"/>
  <c r="D592" i="5"/>
  <c r="D593" i="5"/>
  <c r="D594" i="5"/>
  <c r="D595" i="5"/>
  <c r="D596" i="5"/>
  <c r="D597" i="5"/>
  <c r="D598" i="5"/>
  <c r="D599" i="5"/>
  <c r="D600" i="5"/>
  <c r="D601" i="5"/>
  <c r="D602" i="5"/>
  <c r="D603" i="5"/>
  <c r="D604" i="5"/>
  <c r="D605" i="5"/>
  <c r="D606" i="5"/>
  <c r="D607" i="5"/>
  <c r="D608" i="5"/>
  <c r="D609" i="5"/>
  <c r="D610" i="5"/>
  <c r="D611" i="5"/>
  <c r="D612" i="5"/>
  <c r="D613" i="5"/>
  <c r="D614" i="5"/>
  <c r="D615" i="5"/>
  <c r="D616" i="5"/>
  <c r="D617" i="5"/>
  <c r="D618" i="5"/>
  <c r="D619" i="5"/>
  <c r="D620" i="5"/>
  <c r="D621" i="5"/>
  <c r="D622" i="5"/>
  <c r="D623" i="5"/>
  <c r="D624" i="5"/>
  <c r="D625" i="5"/>
  <c r="D626" i="5"/>
  <c r="D627" i="5"/>
  <c r="D628" i="5"/>
  <c r="D629" i="5"/>
  <c r="D630" i="5"/>
  <c r="D631" i="5"/>
  <c r="D632" i="5"/>
  <c r="D633" i="5"/>
  <c r="D634" i="5"/>
  <c r="D635" i="5"/>
  <c r="D636" i="5"/>
  <c r="D637" i="5"/>
  <c r="D638" i="5"/>
  <c r="D639" i="5"/>
  <c r="D640" i="5"/>
  <c r="D641" i="5"/>
  <c r="D642" i="5"/>
  <c r="D643" i="5"/>
  <c r="D644" i="5"/>
  <c r="D645" i="5"/>
  <c r="D646" i="5"/>
  <c r="D647" i="5"/>
  <c r="D648" i="5"/>
  <c r="D649" i="5"/>
  <c r="D650" i="5"/>
  <c r="D651" i="5"/>
  <c r="D652" i="5"/>
  <c r="D653" i="5"/>
  <c r="D654" i="5"/>
  <c r="D655" i="5"/>
  <c r="D656" i="5"/>
  <c r="D657" i="5"/>
  <c r="D658" i="5"/>
  <c r="D659" i="5"/>
  <c r="D660" i="5"/>
  <c r="D661" i="5"/>
  <c r="D662" i="5"/>
  <c r="D663" i="5"/>
  <c r="D664" i="5"/>
  <c r="D665" i="5"/>
  <c r="D666" i="5"/>
  <c r="D667" i="5"/>
  <c r="D668" i="5"/>
  <c r="D669" i="5"/>
  <c r="D670" i="5"/>
  <c r="D671" i="5"/>
  <c r="D672" i="5"/>
  <c r="D673" i="5"/>
  <c r="D674" i="5"/>
  <c r="D675" i="5"/>
  <c r="D676" i="5"/>
  <c r="D677" i="5"/>
  <c r="D678" i="5"/>
  <c r="D679" i="5"/>
  <c r="D680" i="5"/>
  <c r="D681" i="5"/>
  <c r="D682" i="5"/>
  <c r="D683" i="5"/>
  <c r="D684" i="5"/>
  <c r="D685" i="5"/>
  <c r="D686" i="5"/>
  <c r="D687" i="5"/>
  <c r="D688" i="5"/>
  <c r="D689" i="5"/>
  <c r="D690" i="5"/>
  <c r="D691" i="5"/>
  <c r="D692" i="5"/>
  <c r="D693" i="5"/>
  <c r="D694" i="5"/>
  <c r="D695" i="5"/>
  <c r="D696" i="5"/>
  <c r="D697" i="5"/>
  <c r="D698" i="5"/>
  <c r="D699" i="5"/>
  <c r="D700" i="5"/>
  <c r="D701" i="5"/>
  <c r="D702" i="5"/>
  <c r="D703" i="5"/>
  <c r="D704" i="5"/>
  <c r="D705" i="5"/>
  <c r="D706" i="5"/>
  <c r="D707" i="5"/>
  <c r="D708" i="5"/>
  <c r="D709" i="5"/>
  <c r="D710" i="5"/>
  <c r="D711" i="5"/>
  <c r="D712" i="5"/>
  <c r="D713" i="5"/>
  <c r="D714" i="5"/>
  <c r="D715" i="5"/>
  <c r="D716" i="5"/>
  <c r="D717" i="5"/>
  <c r="D718" i="5"/>
  <c r="D719" i="5"/>
  <c r="D720" i="5"/>
  <c r="D721" i="5"/>
  <c r="D722" i="5"/>
  <c r="D723" i="5"/>
  <c r="D724" i="5"/>
  <c r="D725" i="5"/>
  <c r="D726" i="5"/>
  <c r="D727" i="5"/>
  <c r="D728" i="5"/>
  <c r="D729" i="5"/>
  <c r="D730" i="5"/>
  <c r="D731" i="5"/>
  <c r="D732" i="5"/>
  <c r="D733" i="5"/>
  <c r="D734" i="5"/>
  <c r="D735" i="5"/>
  <c r="D736" i="5"/>
  <c r="D737" i="5"/>
  <c r="D738" i="5"/>
  <c r="D739" i="5"/>
  <c r="D740" i="5"/>
  <c r="D741" i="5"/>
  <c r="D742" i="5"/>
  <c r="D743" i="5"/>
  <c r="D744" i="5"/>
  <c r="D745" i="5"/>
  <c r="D746" i="5"/>
  <c r="D747" i="5"/>
  <c r="D748" i="5"/>
  <c r="D749" i="5"/>
  <c r="D750" i="5"/>
  <c r="D751" i="5"/>
  <c r="D752" i="5"/>
  <c r="D753" i="5"/>
  <c r="D754" i="5"/>
  <c r="D755" i="5"/>
  <c r="D756" i="5"/>
  <c r="D757" i="5"/>
  <c r="D758" i="5"/>
  <c r="D759" i="5"/>
  <c r="D760" i="5"/>
  <c r="D761" i="5"/>
  <c r="D762" i="5"/>
  <c r="D763" i="5"/>
  <c r="D764" i="5"/>
  <c r="D765" i="5"/>
  <c r="D766" i="5"/>
  <c r="D767" i="5"/>
  <c r="D768" i="5"/>
  <c r="D769" i="5"/>
  <c r="D770" i="5"/>
  <c r="D771" i="5"/>
  <c r="D772" i="5"/>
  <c r="D773" i="5"/>
  <c r="D774" i="5"/>
  <c r="D775" i="5"/>
  <c r="D776" i="5"/>
  <c r="D777" i="5"/>
  <c r="D778" i="5"/>
  <c r="D779" i="5"/>
  <c r="D780" i="5"/>
  <c r="D781" i="5"/>
  <c r="D782" i="5"/>
  <c r="D783" i="5"/>
  <c r="D784" i="5"/>
  <c r="D785" i="5"/>
  <c r="D786" i="5"/>
  <c r="D787" i="5"/>
  <c r="D788" i="5"/>
  <c r="D789" i="5"/>
  <c r="D790" i="5"/>
  <c r="D791" i="5"/>
  <c r="D792" i="5"/>
  <c r="D793" i="5"/>
  <c r="D794" i="5"/>
  <c r="D795" i="5"/>
  <c r="D796" i="5"/>
  <c r="D797" i="5"/>
  <c r="D798" i="5"/>
  <c r="D799" i="5"/>
  <c r="D800" i="5"/>
  <c r="D801" i="5"/>
  <c r="D802" i="5"/>
  <c r="D803" i="5"/>
  <c r="D804" i="5"/>
  <c r="D3" i="5"/>
  <c r="E223" i="6"/>
  <c r="E3" i="6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E103" i="6"/>
  <c r="E104" i="6"/>
  <c r="E105" i="6"/>
  <c r="E106" i="6"/>
  <c r="E107" i="6"/>
  <c r="E108" i="6"/>
  <c r="E109" i="6"/>
  <c r="E110" i="6"/>
  <c r="E111" i="6"/>
  <c r="E112" i="6"/>
  <c r="E113" i="6"/>
  <c r="E114" i="6"/>
  <c r="E115" i="6"/>
  <c r="E116" i="6"/>
  <c r="E117" i="6"/>
  <c r="E118" i="6"/>
  <c r="E119" i="6"/>
  <c r="E120" i="6"/>
  <c r="E121" i="6"/>
  <c r="E122" i="6"/>
  <c r="E123" i="6"/>
  <c r="E124" i="6"/>
  <c r="E125" i="6"/>
  <c r="E126" i="6"/>
  <c r="E127" i="6"/>
  <c r="E128" i="6"/>
  <c r="E129" i="6"/>
  <c r="E130" i="6"/>
  <c r="E131" i="6"/>
  <c r="E132" i="6"/>
  <c r="E133" i="6"/>
  <c r="E134" i="6"/>
  <c r="E135" i="6"/>
  <c r="E136" i="6"/>
  <c r="E137" i="6"/>
  <c r="E138" i="6"/>
  <c r="E139" i="6"/>
  <c r="E140" i="6"/>
  <c r="E141" i="6"/>
  <c r="E142" i="6"/>
  <c r="E143" i="6"/>
  <c r="E144" i="6"/>
  <c r="E145" i="6"/>
  <c r="E146" i="6"/>
  <c r="E147" i="6"/>
  <c r="E148" i="6"/>
  <c r="E149" i="6"/>
  <c r="E150" i="6"/>
  <c r="E151" i="6"/>
  <c r="E152" i="6"/>
  <c r="E153" i="6"/>
  <c r="E154" i="6"/>
  <c r="E155" i="6"/>
  <c r="E156" i="6"/>
  <c r="E157" i="6"/>
  <c r="E158" i="6"/>
  <c r="E159" i="6"/>
  <c r="E160" i="6"/>
  <c r="E161" i="6"/>
  <c r="E162" i="6"/>
  <c r="E163" i="6"/>
  <c r="E164" i="6"/>
  <c r="E165" i="6"/>
  <c r="E166" i="6"/>
  <c r="E167" i="6"/>
  <c r="E168" i="6"/>
  <c r="E169" i="6"/>
  <c r="E170" i="6"/>
  <c r="E171" i="6"/>
  <c r="E172" i="6"/>
  <c r="E173" i="6"/>
  <c r="E174" i="6"/>
  <c r="E175" i="6"/>
  <c r="E176" i="6"/>
  <c r="E177" i="6"/>
  <c r="E178" i="6"/>
  <c r="E179" i="6"/>
  <c r="E180" i="6"/>
  <c r="E181" i="6"/>
  <c r="E182" i="6"/>
  <c r="E183" i="6"/>
  <c r="E184" i="6"/>
  <c r="E185" i="6"/>
  <c r="E186" i="6"/>
  <c r="E187" i="6"/>
  <c r="E188" i="6"/>
  <c r="E189" i="6"/>
  <c r="E190" i="6"/>
  <c r="E191" i="6"/>
  <c r="E192" i="6"/>
  <c r="E193" i="6"/>
  <c r="E194" i="6"/>
  <c r="E195" i="6"/>
  <c r="E196" i="6"/>
  <c r="E197" i="6"/>
  <c r="E198" i="6"/>
  <c r="E199" i="6"/>
  <c r="E200" i="6"/>
  <c r="E201" i="6"/>
  <c r="E202" i="6"/>
  <c r="E203" i="6"/>
  <c r="E204" i="6"/>
  <c r="E205" i="6"/>
  <c r="E206" i="6"/>
  <c r="E207" i="6"/>
  <c r="E208" i="6"/>
  <c r="E209" i="6"/>
  <c r="E210" i="6"/>
  <c r="E211" i="6"/>
  <c r="E212" i="6"/>
  <c r="E213" i="6"/>
  <c r="E214" i="6"/>
  <c r="E215" i="6"/>
  <c r="E216" i="6"/>
  <c r="E217" i="6"/>
  <c r="E218" i="6"/>
  <c r="E219" i="6"/>
  <c r="E220" i="6"/>
  <c r="E221" i="6"/>
  <c r="E222" i="6"/>
  <c r="E224" i="6"/>
  <c r="E225" i="6"/>
  <c r="E226" i="6"/>
  <c r="E227" i="6"/>
  <c r="E228" i="6"/>
  <c r="E229" i="6"/>
  <c r="E230" i="6"/>
  <c r="E231" i="6"/>
  <c r="E232" i="6"/>
  <c r="E233" i="6"/>
  <c r="E234" i="6"/>
  <c r="E235" i="6"/>
  <c r="E236" i="6"/>
  <c r="E237" i="6"/>
  <c r="E238" i="6"/>
  <c r="E239" i="6"/>
  <c r="E240" i="6"/>
  <c r="E241" i="6"/>
  <c r="E242" i="6"/>
  <c r="E243" i="6"/>
  <c r="E244" i="6"/>
  <c r="E245" i="6"/>
  <c r="E246" i="6"/>
  <c r="E247" i="6"/>
  <c r="E248" i="6"/>
  <c r="E249" i="6"/>
  <c r="E250" i="6"/>
  <c r="E251" i="6"/>
  <c r="E252" i="6"/>
  <c r="E253" i="6"/>
  <c r="E254" i="6"/>
  <c r="E255" i="6"/>
  <c r="E256" i="6"/>
  <c r="E257" i="6"/>
  <c r="E258" i="6"/>
  <c r="E259" i="6"/>
  <c r="E260" i="6"/>
  <c r="E261" i="6"/>
  <c r="E262" i="6"/>
  <c r="E263" i="6"/>
  <c r="E264" i="6"/>
  <c r="E265" i="6"/>
  <c r="E266" i="6"/>
  <c r="E267" i="6"/>
  <c r="E268" i="6"/>
  <c r="E269" i="6"/>
  <c r="E270" i="6"/>
  <c r="E271" i="6"/>
  <c r="E272" i="6"/>
  <c r="E273" i="6"/>
  <c r="E274" i="6"/>
  <c r="E275" i="6"/>
  <c r="E276" i="6"/>
  <c r="E277" i="6"/>
  <c r="E278" i="6"/>
  <c r="E279" i="6"/>
  <c r="E280" i="6"/>
  <c r="E281" i="6"/>
  <c r="E282" i="6"/>
  <c r="E283" i="6"/>
  <c r="E284" i="6"/>
  <c r="E285" i="6"/>
  <c r="E286" i="6"/>
  <c r="E287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E324" i="6"/>
  <c r="E325" i="6"/>
  <c r="E326" i="6"/>
  <c r="E327" i="6"/>
  <c r="E328" i="6"/>
  <c r="E329" i="6"/>
  <c r="E330" i="6"/>
  <c r="E331" i="6"/>
  <c r="E332" i="6"/>
  <c r="E333" i="6"/>
  <c r="E334" i="6"/>
  <c r="E335" i="6"/>
  <c r="E336" i="6"/>
  <c r="E337" i="6"/>
  <c r="E338" i="6"/>
  <c r="E339" i="6"/>
  <c r="E340" i="6"/>
  <c r="E341" i="6"/>
  <c r="E342" i="6"/>
  <c r="E343" i="6"/>
  <c r="E344" i="6"/>
  <c r="E345" i="6"/>
  <c r="E346" i="6"/>
  <c r="E347" i="6"/>
  <c r="E348" i="6"/>
  <c r="E349" i="6"/>
  <c r="E350" i="6"/>
  <c r="E351" i="6"/>
  <c r="E352" i="6"/>
  <c r="E353" i="6"/>
  <c r="E354" i="6"/>
  <c r="E355" i="6"/>
  <c r="E356" i="6"/>
  <c r="E357" i="6"/>
  <c r="E358" i="6"/>
  <c r="E359" i="6"/>
  <c r="E360" i="6"/>
  <c r="E361" i="6"/>
  <c r="E362" i="6"/>
  <c r="E363" i="6"/>
  <c r="E364" i="6"/>
  <c r="E365" i="6"/>
  <c r="E366" i="6"/>
  <c r="E367" i="6"/>
  <c r="E368" i="6"/>
  <c r="E369" i="6"/>
  <c r="E370" i="6"/>
  <c r="E371" i="6"/>
  <c r="E372" i="6"/>
  <c r="E373" i="6"/>
  <c r="E374" i="6"/>
  <c r="E375" i="6"/>
  <c r="E376" i="6"/>
  <c r="E377" i="6"/>
  <c r="E378" i="6"/>
  <c r="E379" i="6"/>
  <c r="E380" i="6"/>
  <c r="E381" i="6"/>
  <c r="E382" i="6"/>
  <c r="E383" i="6"/>
  <c r="E384" i="6"/>
  <c r="E385" i="6"/>
  <c r="E386" i="6"/>
  <c r="E387" i="6"/>
  <c r="E388" i="6"/>
  <c r="E389" i="6"/>
  <c r="E390" i="6"/>
  <c r="E391" i="6"/>
  <c r="E392" i="6"/>
  <c r="E393" i="6"/>
  <c r="E394" i="6"/>
  <c r="E395" i="6"/>
  <c r="E396" i="6"/>
  <c r="E397" i="6"/>
  <c r="E398" i="6"/>
  <c r="E399" i="6"/>
  <c r="E400" i="6"/>
  <c r="E401" i="6"/>
  <c r="E402" i="6"/>
  <c r="E403" i="6"/>
  <c r="E404" i="6"/>
  <c r="E405" i="6"/>
  <c r="E406" i="6"/>
  <c r="E407" i="6"/>
  <c r="E408" i="6"/>
  <c r="E409" i="6"/>
  <c r="E410" i="6"/>
  <c r="E411" i="6"/>
  <c r="E412" i="6"/>
  <c r="E413" i="6"/>
  <c r="E414" i="6"/>
  <c r="E415" i="6"/>
  <c r="E416" i="6"/>
  <c r="E417" i="6"/>
  <c r="E418" i="6"/>
  <c r="E419" i="6"/>
  <c r="E420" i="6"/>
  <c r="E421" i="6"/>
  <c r="E422" i="6"/>
  <c r="E423" i="6"/>
  <c r="E424" i="6"/>
  <c r="E425" i="6"/>
  <c r="E426" i="6"/>
  <c r="E427" i="6"/>
  <c r="E428" i="6"/>
  <c r="E429" i="6"/>
  <c r="E430" i="6"/>
  <c r="E431" i="6"/>
  <c r="E432" i="6"/>
  <c r="E433" i="6"/>
  <c r="E2" i="6"/>
  <c r="F3" i="6"/>
  <c r="F4" i="6"/>
  <c r="F5" i="6"/>
  <c r="F6" i="6"/>
  <c r="F7" i="6"/>
  <c r="F8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2" i="6"/>
  <c r="F3" i="4"/>
  <c r="F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18" i="4"/>
  <c r="F19" i="4"/>
  <c r="F20" i="4"/>
  <c r="F21" i="4"/>
  <c r="F22" i="4"/>
  <c r="F23" i="4"/>
  <c r="F24" i="4"/>
  <c r="F25" i="4"/>
  <c r="F26" i="4"/>
  <c r="F27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E3" i="4"/>
  <c r="E4" i="4"/>
  <c r="E5" i="4"/>
  <c r="E6" i="4"/>
  <c r="E7" i="4"/>
  <c r="E8" i="4"/>
  <c r="E9" i="4"/>
  <c r="E10" i="4"/>
  <c r="E11" i="4"/>
  <c r="E12" i="4"/>
  <c r="E13" i="4"/>
  <c r="E14" i="4"/>
  <c r="E15" i="4"/>
  <c r="E16" i="4"/>
  <c r="E17" i="4"/>
  <c r="E18" i="4"/>
  <c r="E19" i="4"/>
  <c r="E20" i="4"/>
  <c r="E21" i="4"/>
  <c r="E22" i="4"/>
  <c r="E23" i="4"/>
  <c r="E24" i="4"/>
  <c r="E25" i="4"/>
  <c r="E26" i="4"/>
  <c r="E27" i="4"/>
  <c r="E2" i="4"/>
  <c r="J18" i="3"/>
  <c r="I18" i="3"/>
  <c r="H18" i="3"/>
  <c r="J17" i="3"/>
  <c r="I17" i="3"/>
  <c r="H17" i="3"/>
  <c r="J16" i="3"/>
  <c r="I16" i="3"/>
  <c r="H16" i="3"/>
  <c r="J15" i="3"/>
  <c r="I15" i="3"/>
  <c r="H15" i="3"/>
  <c r="J14" i="3"/>
  <c r="I14" i="3"/>
  <c r="H14" i="3"/>
  <c r="N805" i="5"/>
  <c r="M805" i="5"/>
  <c r="L805" i="5"/>
  <c r="K805" i="5"/>
  <c r="J805" i="5"/>
  <c r="I805" i="5"/>
  <c r="H805" i="5"/>
  <c r="G805" i="5"/>
  <c r="F805" i="5"/>
  <c r="B805" i="5"/>
  <c r="D805" i="5" l="1"/>
  <c r="C805" i="5"/>
</calcChain>
</file>

<file path=xl/sharedStrings.xml><?xml version="1.0" encoding="utf-8"?>
<sst xmlns="http://schemas.openxmlformats.org/spreadsheetml/2006/main" count="3948" uniqueCount="121">
  <si>
    <t>Evolution weekly CP Servis 4 dernières semaines</t>
  </si>
  <si>
    <t>APPRO CASH + UME RZ</t>
  </si>
  <si>
    <t>APPRO CASH + UME TDP</t>
  </si>
  <si>
    <t>APPRO CASH + UME TDP et RZ</t>
  </si>
  <si>
    <t>Evolution weekly MONTANT APPRO 4 dernières semaines</t>
  </si>
  <si>
    <t>Evolution WEEKLY CP Servis format tableau</t>
  </si>
  <si>
    <t>Evolution WEEKLY MONTANT APPRO format tableau</t>
  </si>
  <si>
    <t>WEEK_START</t>
  </si>
  <si>
    <t>NOM_TDP</t>
  </si>
  <si>
    <t>ND_TDP</t>
  </si>
  <si>
    <t>ND_RZ</t>
  </si>
  <si>
    <t>NOM</t>
  </si>
  <si>
    <t>PRENOM</t>
  </si>
  <si>
    <t>REGION</t>
  </si>
  <si>
    <t>VILLE</t>
  </si>
  <si>
    <t>ND_CP_APPRO</t>
  </si>
  <si>
    <t>APPRO_CASH</t>
  </si>
  <si>
    <t>APPRO_UME</t>
  </si>
  <si>
    <t>MONTANT_CI</t>
  </si>
  <si>
    <t>AGENTS_DE_TDP_LIVE_SERVICES</t>
  </si>
  <si>
    <t>343649761</t>
  </si>
  <si>
    <t>TANA_CENTRE_II</t>
  </si>
  <si>
    <t>ANTANANARIVO</t>
  </si>
  <si>
    <t>343413182</t>
  </si>
  <si>
    <t>TANA_NORD</t>
  </si>
  <si>
    <t>385103251</t>
  </si>
  <si>
    <t>EST</t>
  </si>
  <si>
    <t>TOAMASINA</t>
  </si>
  <si>
    <t>342235856</t>
  </si>
  <si>
    <t>349838991</t>
  </si>
  <si>
    <t>TANA_EST</t>
  </si>
  <si>
    <t>345918215</t>
  </si>
  <si>
    <t>TANA_CENTRE_I</t>
  </si>
  <si>
    <t>349331868</t>
  </si>
  <si>
    <t>343011684</t>
  </si>
  <si>
    <t>345412260</t>
  </si>
  <si>
    <t>344160397</t>
  </si>
  <si>
    <t>343415602</t>
  </si>
  <si>
    <t>340270996</t>
  </si>
  <si>
    <t>340901862</t>
  </si>
  <si>
    <t>386736774</t>
  </si>
  <si>
    <t>384142254</t>
  </si>
  <si>
    <t>384667170</t>
  </si>
  <si>
    <t>388040608</t>
  </si>
  <si>
    <t>346916707</t>
  </si>
  <si>
    <t>343500419</t>
  </si>
  <si>
    <t>343413574</t>
  </si>
  <si>
    <t>344423417</t>
  </si>
  <si>
    <t>348266970</t>
  </si>
  <si>
    <t>342570128</t>
  </si>
  <si>
    <t>345832320</t>
  </si>
  <si>
    <t>342612600</t>
  </si>
  <si>
    <t>349725285</t>
  </si>
  <si>
    <t>ND_CP</t>
  </si>
  <si>
    <t>APPRO_UME_RZ</t>
  </si>
  <si>
    <t>APPRO_CASH_RZ</t>
  </si>
  <si>
    <t>WEEK START</t>
  </si>
  <si>
    <t>NOM TDP</t>
  </si>
  <si>
    <t>ND CP</t>
  </si>
  <si>
    <t>NOM CP</t>
  </si>
  <si>
    <t>PRENOM CP</t>
  </si>
  <si>
    <t>APPRO UME TDP</t>
  </si>
  <si>
    <t>APPRO CASH TDP</t>
  </si>
  <si>
    <t>APPRO UME RZ</t>
  </si>
  <si>
    <t>APPRO CASH RZ</t>
  </si>
  <si>
    <t>MONTANT CI</t>
  </si>
  <si>
    <t>MONTANT CO</t>
  </si>
  <si>
    <t>MONTANT CI SHOP</t>
  </si>
  <si>
    <t>TANA_SUD</t>
  </si>
  <si>
    <t>MIADANANDRIANA</t>
  </si>
  <si>
    <t>AMBOHINAVELA</t>
  </si>
  <si>
    <t>ANJEVA</t>
  </si>
  <si>
    <t>FOULPOINTE</t>
  </si>
  <si>
    <t>MORAMANGA</t>
  </si>
  <si>
    <t>TANA_OUEST</t>
  </si>
  <si>
    <t>AMBOHIPIHAONANA ANM</t>
  </si>
  <si>
    <t>MANJAKANDRIANA</t>
  </si>
  <si>
    <t>ANTSAMPANANA</t>
  </si>
  <si>
    <t>ANJOMA BETOHO</t>
  </si>
  <si>
    <t xml:space="preserve">MERIKANJAKA </t>
  </si>
  <si>
    <t>AMBATONDRAZAKA</t>
  </si>
  <si>
    <t>SUD_EST</t>
  </si>
  <si>
    <t>FARAFANGANA</t>
  </si>
  <si>
    <t>MANTASOA</t>
  </si>
  <si>
    <t>ANGAVOKELY</t>
  </si>
  <si>
    <t>IFATSY</t>
  </si>
  <si>
    <t>TALATA VOLONONDRY</t>
  </si>
  <si>
    <t>RANOVAO</t>
  </si>
  <si>
    <t>ANDRIAMPAMAKY</t>
  </si>
  <si>
    <t>TANAMBE</t>
  </si>
  <si>
    <t>AMBATOLAMPY</t>
  </si>
  <si>
    <t>ANTANIMASAKA</t>
  </si>
  <si>
    <t>MANDRITSARA</t>
  </si>
  <si>
    <t>ANTSAKABARY</t>
  </si>
  <si>
    <t>AMPASIMPOTSY</t>
  </si>
  <si>
    <t>ITASY</t>
  </si>
  <si>
    <t>BABETVILLE</t>
  </si>
  <si>
    <t>MANDRAKA</t>
  </si>
  <si>
    <t>AMBATOLAONA</t>
  </si>
  <si>
    <t>MANGAMILA</t>
  </si>
  <si>
    <t>AMBOHIDANERANA</t>
  </si>
  <si>
    <t>AMPAHIMANGA</t>
  </si>
  <si>
    <t>AMBODISATRANA ANJ</t>
  </si>
  <si>
    <t>AMBALAVOLO ATS</t>
  </si>
  <si>
    <t>VATOMANDRY</t>
  </si>
  <si>
    <t>BRICKAVILLE</t>
  </si>
  <si>
    <t>TDP</t>
  </si>
  <si>
    <t>RZ</t>
  </si>
  <si>
    <t>CASH POINT</t>
  </si>
  <si>
    <t>TOTAL</t>
  </si>
  <si>
    <t>WEEK</t>
  </si>
  <si>
    <t>NB CP SERVIS VIA RZ</t>
  </si>
  <si>
    <t>NB CP SERVIS VIA TDP</t>
  </si>
  <si>
    <t>NB CP SERVIS VIA TDP RZ CONONDU</t>
  </si>
  <si>
    <t>S49</t>
  </si>
  <si>
    <t>S50</t>
  </si>
  <si>
    <t>S51</t>
  </si>
  <si>
    <t>S52</t>
  </si>
  <si>
    <t>S1</t>
  </si>
  <si>
    <t>APPRO CASH RZ+TDP</t>
  </si>
  <si>
    <t>APPRO UME RZ+TDP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</si>
</sst>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&quot;-&quot;??_-;_-@_-"/>
    <numFmt numFmtId="165" formatCode="#\ ###\ ###\ ###\ ##0"/>
  </numFmts>
  <fonts count="10" x14ac:knownFonts="1">
    <font>
      <sz val="11"/>
      <color rgb="FF000000"/>
      <name val="Calibri"/>
      <family val="2"/>
      <scheme val="minor"/>
    </font>
    <font>
      <sz val="8"/>
      <color theme="0"/>
      <name val="Calibri"/>
      <family val="2"/>
      <scheme val="minor"/>
    </font>
    <font>
      <b/>
      <u/>
      <sz val="8"/>
      <color rgb="FF000000"/>
      <name val="Montserrat"/>
    </font>
    <font>
      <sz val="7"/>
      <color rgb="FF000000"/>
      <name val="Montserrat"/>
    </font>
    <font>
      <sz val="11"/>
      <color rgb="FF000000"/>
      <name val="Montserrat"/>
    </font>
    <font>
      <b/>
      <u/>
      <sz val="11"/>
      <color rgb="FF000000"/>
      <name val="Montserrat"/>
    </font>
    <font>
      <sz val="8"/>
      <color theme="0"/>
      <name val="Montserrat"/>
    </font>
    <font>
      <b/>
      <sz val="11"/>
      <color rgb="FF000000"/>
      <name val="Calibri"/>
    </font>
    <font>
      <sz val="11"/>
      <color rgb="FF000000"/>
      <name val="Calibri"/>
    </font>
    <font>
      <b/>
      <sz val="7"/>
      <color rgb="FF000000"/>
      <name val="Montserrat"/>
    </font>
  </fonts>
  <fills count="5">
    <fill>
      <patternFill patternType="none"/>
    </fill>
    <fill>
      <patternFill patternType="gray125"/>
    </fill>
    <fill>
      <patternFill patternType="solid">
        <fgColor rgb="FF92D050"/>
      </patternFill>
    </fill>
    <fill>
      <patternFill patternType="solid">
        <fgColor rgb="FFFFFF0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0" borderId="0" xfId="0" applyNumberFormat="1" applyFont="1"/>
    <xf numFmtId="14" fontId="3" fillId="0" borderId="1" xfId="0" applyNumberFormat="1" applyFont="1" applyBorder="1" applyAlignment="1">
      <alignment horizontal="center"/>
    </xf>
    <xf numFmtId="0" fontId="3" fillId="0" borderId="1" xfId="0" applyFont="1" applyBorder="1"/>
    <xf numFmtId="0" fontId="4" fillId="0" borderId="0" xfId="0" applyFont="1"/>
    <xf numFmtId="0" fontId="3" fillId="0" borderId="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  <xf numFmtId="0" fontId="6" fillId="0" borderId="0" xfId="0" applyFont="1" applyAlignment="1">
      <alignment horizontal="center" vertical="center" wrapText="1"/>
    </xf>
    <xf numFmtId="0" fontId="7" fillId="2" borderId="0" xfId="0" applyFont="1" applyFill="1"/>
    <xf numFmtId="14" fontId="8" fillId="0" borderId="0" xfId="0" applyNumberFormat="1" applyFont="1"/>
    <xf numFmtId="165" fontId="8" fillId="0" borderId="0" xfId="0" applyNumberFormat="1" applyFont="1"/>
    <xf numFmtId="0" fontId="7" fillId="0" borderId="0" xfId="0" applyFont="1"/>
    <xf numFmtId="0" fontId="9" fillId="0" borderId="1" xfId="0" applyFont="1" applyBorder="1" applyAlignment="1">
      <alignment horizontal="center" vertical="center" wrapText="1"/>
    </xf>
    <xf numFmtId="165" fontId="3" fillId="0" borderId="1" xfId="0" applyNumberFormat="1" applyFont="1" applyBorder="1"/>
    <xf numFmtId="165" fontId="7" fillId="0" borderId="0" xfId="0" applyNumberFormat="1" applyFont="1"/>
    <xf numFmtId="0" fontId="0" fillId="0" borderId="0" xfId="0"/>
    <xf numFmtId="0" fontId="8" fillId="2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25"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92D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65" formatCode="#\ ###\ ###\ ###\ 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19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solid">
          <fgColor indexed="64"/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Evolution'!$B$4</c:f>
              <c:strCache>
                <c:ptCount val="1"/>
                <c:pt idx="0">
                  <c:v>NB CP SERVIS VIA RZ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</c:strCache>
            </c:strRef>
          </c:cat>
          <c:val>
            <c:numRef>
              <c:f>'Weekly Evolution'!$B$6:$B$9</c:f>
              <c:numCache>
                <c:formatCode>General</c:formatCode>
                <c:ptCount val="4"/>
                <c:pt idx="0">
                  <c:v>439</c:v>
                </c:pt>
                <c:pt idx="1">
                  <c:v>407</c:v>
                </c:pt>
                <c:pt idx="2">
                  <c:v>377</c:v>
                </c:pt>
                <c:pt idx="3">
                  <c:v>362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TDP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Evolution'!$C$4</c:f>
              <c:strCache>
                <c:ptCount val="1"/>
                <c:pt idx="0">
                  <c:v>NB CP SERVIS VIA TDP</c:v>
                </c:pt>
              </c:strCache>
            </c:strRef>
          </c:tx>
          <c:spPr>
            <a:solidFill>
              <a:srgbClr val="94D053"/>
            </a:solidFill>
            <a:ln>
              <a:solidFill>
                <a:srgbClr val="94D053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</c:strCache>
            </c:strRef>
          </c:cat>
          <c:val>
            <c:numRef>
              <c:f>'Weekly Evolution'!$C$6:$C$9</c:f>
              <c:numCache>
                <c:formatCode>General</c:formatCode>
                <c:ptCount val="4"/>
                <c:pt idx="0">
                  <c:v>93</c:v>
                </c:pt>
                <c:pt idx="1">
                  <c:v>85</c:v>
                </c:pt>
                <c:pt idx="2">
                  <c:v>78</c:v>
                </c:pt>
                <c:pt idx="3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NB CP SERVIS via TDP RZ CONFONDU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Evolution'!$D$4</c:f>
              <c:strCache>
                <c:ptCount val="1"/>
                <c:pt idx="0">
                  <c:v>NB CP SERVIS VIA TDP RZ CONONDU</c:v>
                </c:pt>
              </c:strCache>
            </c:strRef>
          </c:tx>
          <c:spPr>
            <a:solidFill>
              <a:srgbClr val="4472C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Evolution'!$A$6:$A$9</c:f>
              <c:strCache>
                <c:ptCount val="4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</c:strCache>
            </c:strRef>
          </c:cat>
          <c:val>
            <c:numRef>
              <c:f>'Weekly Evolution'!$D$6:$D$9</c:f>
              <c:numCache>
                <c:formatCode>General</c:formatCode>
                <c:ptCount val="4"/>
                <c:pt idx="0">
                  <c:v>494</c:v>
                </c:pt>
                <c:pt idx="1">
                  <c:v>465</c:v>
                </c:pt>
                <c:pt idx="2">
                  <c:v>434</c:v>
                </c:pt>
                <c:pt idx="3">
                  <c:v>401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5C-4F6B-A213-815019B93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656496"/>
        <c:axId val="1319656080"/>
      </c:barChart>
      <c:catAx>
        <c:axId val="1319656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080"/>
        <c:crosses val="autoZero"/>
        <c:auto val="1"/>
        <c:lblAlgn val="ctr"/>
        <c:lblOffset val="100"/>
        <c:noMultiLvlLbl val="0"/>
      </c:catAx>
      <c:valAx>
        <c:axId val="131965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319656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 + UME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Evolution'!$B$13</c:f>
              <c:strCache>
                <c:ptCount val="1"/>
                <c:pt idx="0">
                  <c:v>APPRO CASH RZ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</c:strCache>
            </c:strRef>
          </c:cat>
          <c:val>
            <c:numRef>
              <c:f>'Weekly Evolution'!$B$15:$B$18</c:f>
              <c:numCache>
                <c:formatCode>#\ ###\ ###\ ###\ ##0</c:formatCode>
                <c:ptCount val="4"/>
                <c:pt idx="0">
                  <c:v>2636365428</c:v>
                </c:pt>
                <c:pt idx="1">
                  <c:v>2462070994</c:v>
                </c:pt>
                <c:pt idx="2">
                  <c:v>2257966837</c:v>
                </c:pt>
                <c:pt idx="3">
                  <c:v>1682084400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6B-4A1C-8E67-25BA0DD5020E}"/>
            </c:ext>
          </c:extLst>
        </c:ser>
        <c:ser>
          <c:idx val="1"/>
          <c:order val="1"/>
          <c:tx>
            <c:strRef>
              <c:f>'Weekly Evolution'!$C$13</c:f>
              <c:strCache>
                <c:ptCount val="1"/>
                <c:pt idx="0">
                  <c:v>APPRO UME RZ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</c:strCache>
            </c:strRef>
          </c:cat>
          <c:val>
            <c:numRef>
              <c:f>'Weekly Evolution'!$C$15:$C$18</c:f>
              <c:numCache>
                <c:formatCode>#\ ###\ ###\ ###\ ##0</c:formatCode>
                <c:ptCount val="4"/>
                <c:pt idx="0">
                  <c:v>3795789440</c:v>
                </c:pt>
                <c:pt idx="1">
                  <c:v>4195911529</c:v>
                </c:pt>
                <c:pt idx="2">
                  <c:v>3548155869</c:v>
                </c:pt>
                <c:pt idx="3">
                  <c:v>2523368499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6B-4A1C-8E67-25BA0DD502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12157936"/>
        <c:axId val="1512158768"/>
      </c:barChart>
      <c:lineChart>
        <c:grouping val="standard"/>
        <c:varyColors val="0"/>
        <c:ser>
          <c:idx val="2"/>
          <c:order val="2"/>
          <c:tx>
            <c:strRef>
              <c:f>'Weekly Evolution'!$H$13</c:f>
              <c:strCache>
                <c:ptCount val="1"/>
                <c:pt idx="0">
                  <c:v>APPRO CASH + UME RZ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S49</c:v>
                </c:pt>
                <c:pt idx="1">
                  <c:v>S50</c:v>
                </c:pt>
                <c:pt idx="2">
                  <c:v>S51</c:v>
                </c:pt>
                <c:pt idx="3">
                  <c:v>S52</c:v>
                </c:pt>
                <c:pt idx="4">
                  <c:v>S1</c:v>
                </c:pt>
              </c:strCache>
            </c:strRef>
          </c:cat>
          <c:val>
            <c:numRef>
              <c:f>'Weekly Evolution'!$H$15:$H$18</c:f>
              <c:numCache>
                <c:formatCode>_-* #,##0_-;\-* #,##0_-;_-* "-"??_-;_-@_-</c:formatCode>
                <c:ptCount val="4"/>
                <c:pt idx="0">
                  <c:v>6432154868</c:v>
                </c:pt>
                <c:pt idx="1">
                  <c:v>6657982523</c:v>
                </c:pt>
                <c:pt idx="2">
                  <c:v>5806122706</c:v>
                </c:pt>
                <c:pt idx="3">
                  <c:v>4205452899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6B-4A1C-8E67-25BA0DD5020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512157936"/>
        <c:axId val="1512158768"/>
      </c:lineChart>
      <c:catAx>
        <c:axId val="1512157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512158768"/>
        <c:crosses val="autoZero"/>
        <c:auto val="1"/>
        <c:lblAlgn val="ctr"/>
        <c:lblOffset val="100"/>
        <c:noMultiLvlLbl val="0"/>
      </c:catAx>
      <c:valAx>
        <c:axId val="15121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51215793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 + UME TDP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Evolution'!$D$13</c:f>
              <c:strCache>
                <c:ptCount val="1"/>
                <c:pt idx="0">
                  <c:v>APPRO CASH TDP</c:v>
                </c:pt>
              </c:strCache>
            </c:strRef>
          </c:tx>
          <c:spPr>
            <a:solidFill>
              <a:srgbClr val="00B0F0"/>
            </a:solidFill>
            <a:ln>
              <a:solidFill>
                <a:srgbClr val="00B0F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</c:strCache>
            </c:strRef>
          </c:cat>
          <c:val>
            <c:numRef>
              <c:f>'Weekly Evolution'!$D$15:$D$18</c:f>
              <c:numCache>
                <c:formatCode>#\ ###\ ###\ ###\ ##0</c:formatCode>
                <c:ptCount val="4"/>
                <c:pt idx="0">
                  <c:v>1503222100</c:v>
                </c:pt>
                <c:pt idx="1">
                  <c:v>1843223100</c:v>
                </c:pt>
                <c:pt idx="2">
                  <c:v>1665572300</c:v>
                </c:pt>
                <c:pt idx="3">
                  <c:v>856072600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9C-43F3-A927-848AD0572413}"/>
            </c:ext>
          </c:extLst>
        </c:ser>
        <c:ser>
          <c:idx val="1"/>
          <c:order val="1"/>
          <c:tx>
            <c:strRef>
              <c:f>'Weekly Evolution'!$E$13</c:f>
              <c:strCache>
                <c:ptCount val="1"/>
                <c:pt idx="0">
                  <c:v>APPRO UME TDP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</c:strCache>
            </c:strRef>
          </c:cat>
          <c:val>
            <c:numRef>
              <c:f>'Weekly Evolution'!$E$15:$E$18</c:f>
              <c:numCache>
                <c:formatCode>#\ ###\ ###\ ###\ ##0</c:formatCode>
                <c:ptCount val="4"/>
                <c:pt idx="0">
                  <c:v>1032799300</c:v>
                </c:pt>
                <c:pt idx="1">
                  <c:v>1072542000</c:v>
                </c:pt>
                <c:pt idx="2">
                  <c:v>911310700</c:v>
                </c:pt>
                <c:pt idx="3">
                  <c:v>546067500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E9C-43F3-A927-848AD0572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4248592"/>
        <c:axId val="1651258496"/>
      </c:barChart>
      <c:lineChart>
        <c:grouping val="standard"/>
        <c:varyColors val="0"/>
        <c:ser>
          <c:idx val="2"/>
          <c:order val="2"/>
          <c:tx>
            <c:strRef>
              <c:f>'Weekly Evolution'!$I$13</c:f>
              <c:strCache>
                <c:ptCount val="1"/>
                <c:pt idx="0">
                  <c:v>APPRO CASH + UME TDP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S49</c:v>
                </c:pt>
                <c:pt idx="1">
                  <c:v>S50</c:v>
                </c:pt>
                <c:pt idx="2">
                  <c:v>S51</c:v>
                </c:pt>
                <c:pt idx="3">
                  <c:v>S52</c:v>
                </c:pt>
                <c:pt idx="4">
                  <c:v>S1</c:v>
                </c:pt>
              </c:strCache>
            </c:strRef>
          </c:cat>
          <c:val>
            <c:numRef>
              <c:f>'Weekly Evolution'!$I$15:$I$18</c:f>
              <c:numCache>
                <c:formatCode>_-* #,##0_-;\-* #,##0_-;_-* "-"??_-;_-@_-</c:formatCode>
                <c:ptCount val="4"/>
                <c:pt idx="0">
                  <c:v>2536021400</c:v>
                </c:pt>
                <c:pt idx="1">
                  <c:v>2915765100</c:v>
                </c:pt>
                <c:pt idx="2">
                  <c:v>2576883000</c:v>
                </c:pt>
                <c:pt idx="3">
                  <c:v>1402140100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E9C-43F3-A927-848AD057241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4248592"/>
        <c:axId val="1651258496"/>
      </c:lineChart>
      <c:catAx>
        <c:axId val="1654248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1258496"/>
        <c:crosses val="autoZero"/>
        <c:auto val="1"/>
        <c:lblAlgn val="ctr"/>
        <c:lblOffset val="100"/>
        <c:noMultiLvlLbl val="0"/>
      </c:catAx>
      <c:valAx>
        <c:axId val="1651258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4248592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r>
              <a:rPr lang="fr-FR"/>
              <a:t>APPRO CASH+UME TDP et RZ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'Weekly Evolution'!$F$13</c:f>
              <c:strCache>
                <c:ptCount val="1"/>
                <c:pt idx="0">
                  <c:v>APPRO CASH RZ+TDP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B0F0"/>
              </a:solidFill>
              <a:ln>
                <a:solidFill>
                  <a:srgbClr val="00B0F0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D0B-47A5-A35B-044C50CA199B}"/>
              </c:ext>
            </c:extLst>
          </c:dPt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</c:strCache>
            </c:strRef>
          </c:cat>
          <c:val>
            <c:numRef>
              <c:f>'Weekly Evolution'!$F$15:$F$18</c:f>
              <c:numCache>
                <c:formatCode>#\ ###\ ###\ ###\ ##0</c:formatCode>
                <c:ptCount val="4"/>
                <c:pt idx="0">
                  <c:v>4139587528</c:v>
                </c:pt>
                <c:pt idx="1">
                  <c:v>4305294094</c:v>
                </c:pt>
                <c:pt idx="2">
                  <c:v>3923539137</c:v>
                </c:pt>
                <c:pt idx="3">
                  <c:v>2538157000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E2-4717-A659-7287AD7F46FC}"/>
            </c:ext>
          </c:extLst>
        </c:ser>
        <c:ser>
          <c:idx val="1"/>
          <c:order val="1"/>
          <c:tx>
            <c:strRef>
              <c:f>'Weekly Evolution'!$G$13</c:f>
              <c:strCache>
                <c:ptCount val="1"/>
                <c:pt idx="0">
                  <c:v>APPRO UME RZ+TDP</c:v>
                </c:pt>
              </c:strCache>
            </c:strRef>
          </c:tx>
          <c:spPr>
            <a:solidFill>
              <a:srgbClr val="FFFF00"/>
            </a:solidFill>
            <a:ln>
              <a:solidFill>
                <a:srgbClr val="FFFF00"/>
              </a:solidFill>
            </a:ln>
            <a:effectLst/>
          </c:spPr>
          <c:invertIfNegative val="0"/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Evolution'!$A$15:$A$18</c:f>
              <c:strCache>
                <c:ptCount val="4"/>
                <c:pt idx="0">
                  <c:v>S50</c:v>
                </c:pt>
                <c:pt idx="1">
                  <c:v>S51</c:v>
                </c:pt>
                <c:pt idx="2">
                  <c:v>S52</c:v>
                </c:pt>
                <c:pt idx="3">
                  <c:v>S1</c:v>
                </c:pt>
              </c:strCache>
            </c:strRef>
          </c:cat>
          <c:val>
            <c:numRef>
              <c:f>'Weekly Evolution'!$G$15:$G$18</c:f>
              <c:numCache>
                <c:formatCode>#\ ###\ ###\ ###\ ##0</c:formatCode>
                <c:ptCount val="4"/>
                <c:pt idx="0">
                  <c:v>4828588740</c:v>
                </c:pt>
                <c:pt idx="1">
                  <c:v>5268453529</c:v>
                </c:pt>
                <c:pt idx="2">
                  <c:v>4459466569</c:v>
                </c:pt>
                <c:pt idx="3">
                  <c:v>3069435999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E2-4717-A659-7287AD7F4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652416416"/>
        <c:axId val="1652424320"/>
      </c:barChart>
      <c:lineChart>
        <c:grouping val="standard"/>
        <c:varyColors val="0"/>
        <c:ser>
          <c:idx val="2"/>
          <c:order val="2"/>
          <c:tx>
            <c:strRef>
              <c:f>'Weekly Evolution'!$J$13</c:f>
              <c:strCache>
                <c:ptCount val="1"/>
                <c:pt idx="0">
                  <c:v>APPRO CASH + UME TDP et RZ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numFmt formatCode="#\ ##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Evolution'!$A$14:$A$18</c:f>
              <c:strCache>
                <c:ptCount val="5"/>
                <c:pt idx="0">
                  <c:v>S49</c:v>
                </c:pt>
                <c:pt idx="1">
                  <c:v>S50</c:v>
                </c:pt>
                <c:pt idx="2">
                  <c:v>S51</c:v>
                </c:pt>
                <c:pt idx="3">
                  <c:v>S52</c:v>
                </c:pt>
                <c:pt idx="4">
                  <c:v>S1</c:v>
                </c:pt>
              </c:strCache>
            </c:strRef>
          </c:cat>
          <c:val>
            <c:numRef>
              <c:f>'Weekly Evolution'!$J$15:$J$18</c:f>
              <c:numCache>
                <c:formatCode>_-* #,##0_-;\-* #,##0_-;_-* "-"??_-;_-@_-</c:formatCode>
                <c:ptCount val="4"/>
                <c:pt idx="0">
                  <c:v>8968176268</c:v>
                </c:pt>
                <c:pt idx="1">
                  <c:v>9573747623</c:v>
                </c:pt>
                <c:pt idx="2">
                  <c:v>8383005706</c:v>
                </c:pt>
                <c:pt idx="3">
                  <c:v>5607592999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E2-4717-A659-7287AD7F46F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652416416"/>
        <c:axId val="1652424320"/>
      </c:lineChart>
      <c:catAx>
        <c:axId val="1652416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2424320"/>
        <c:crosses val="autoZero"/>
        <c:auto val="1"/>
        <c:lblAlgn val="ctr"/>
        <c:lblOffset val="100"/>
        <c:noMultiLvlLbl val="0"/>
      </c:catAx>
      <c:valAx>
        <c:axId val="1652424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\ &quot;M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Montserrat" pitchFamily="2" charset="0"/>
                <a:ea typeface="+mn-ea"/>
                <a:cs typeface="+mn-cs"/>
              </a:defRPr>
            </a:pPr>
            <a:endParaRPr lang="fr-FR"/>
          </a:p>
        </c:txPr>
        <c:crossAx val="1652416416"/>
        <c:crosses val="autoZero"/>
        <c:crossBetween val="between"/>
        <c:dispUnits>
          <c:builtInUnit val="million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Montserrat" pitchFamily="2" charset="0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Montserrat" pitchFamily="2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500" baseline="0">
          <a:latin typeface="Montserrat" pitchFamily="2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744220</xdr:colOff>
      <xdr:row>2</xdr:row>
      <xdr:rowOff>200660</xdr:rowOff>
    </xdr:from>
    <xdr:to>
      <xdr:col>12</xdr:col>
      <xdr:colOff>403860</xdr:colOff>
      <xdr:row>8</xdr:row>
      <xdr:rowOff>7620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16A9EB6-825D-43CF-B1A7-50C87E6E10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1270</xdr:colOff>
      <xdr:row>2</xdr:row>
      <xdr:rowOff>185419</xdr:rowOff>
    </xdr:from>
    <xdr:to>
      <xdr:col>16</xdr:col>
      <xdr:colOff>754380</xdr:colOff>
      <xdr:row>8</xdr:row>
      <xdr:rowOff>9518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637C1EEF-0800-41C1-A718-B5F032EE40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441960</xdr:colOff>
      <xdr:row>2</xdr:row>
      <xdr:rowOff>160019</xdr:rowOff>
    </xdr:from>
    <xdr:to>
      <xdr:col>21</xdr:col>
      <xdr:colOff>441960</xdr:colOff>
      <xdr:row>7</xdr:row>
      <xdr:rowOff>201288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1FFF0536-E151-4289-B265-0755851D39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760730</xdr:colOff>
      <xdr:row>12</xdr:row>
      <xdr:rowOff>1270</xdr:rowOff>
    </xdr:from>
    <xdr:to>
      <xdr:col>12</xdr:col>
      <xdr:colOff>495300</xdr:colOff>
      <xdr:row>20</xdr:row>
      <xdr:rowOff>175260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9980308-1469-49FC-8429-335E138E839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62230</xdr:colOff>
      <xdr:row>11</xdr:row>
      <xdr:rowOff>208280</xdr:rowOff>
    </xdr:from>
    <xdr:to>
      <xdr:col>17</xdr:col>
      <xdr:colOff>449580</xdr:colOff>
      <xdr:row>21</xdr:row>
      <xdr:rowOff>17780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E3094380-4673-4D08-B0AA-FE7539F0F3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17</xdr:col>
      <xdr:colOff>518160</xdr:colOff>
      <xdr:row>11</xdr:row>
      <xdr:rowOff>203200</xdr:rowOff>
    </xdr:from>
    <xdr:to>
      <xdr:col>22</xdr:col>
      <xdr:colOff>579120</xdr:colOff>
      <xdr:row>21</xdr:row>
      <xdr:rowOff>0</xdr:rowOff>
    </xdr:to>
    <xdr:graphicFrame macro="">
      <xdr:nvGraphicFramePr>
        <xdr:cNvPr id="11" name="Graphique 10">
          <a:extLst>
            <a:ext uri="{FF2B5EF4-FFF2-40B4-BE49-F238E27FC236}">
              <a16:creationId xmlns:a16="http://schemas.microsoft.com/office/drawing/2014/main" id="{5B5B8C24-98B5-456D-9D5B-221F97D4FD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9D27CCD-BB07-4EEE-B359-D1B37890C47C}" name="Table3" displayName="Table3" ref="A1:L28" totalsRowShown="0" headerRowDxfId="24" dataDxfId="23">
  <autoFilter ref="A1:L28" xr:uid="{B9D27CCD-BB07-4EEE-B359-D1B37890C47C}"/>
  <tableColumns count="12">
    <tableColumn id="1" xr3:uid="{AEED5F62-0AE8-49A0-A03B-1AB54958879F}" name="WEEK_START" dataDxfId="22"/>
    <tableColumn id="2" xr3:uid="{7FAD27C7-17F6-423E-AE4A-B3731DBF02D5}" name="NOM_TDP"/>
    <tableColumn id="3" xr3:uid="{85D8E8FD-7F5E-40D7-A42D-1D84C987DFEE}" name="ND_TDP"/>
    <tableColumn id="4" xr3:uid="{56504A35-0077-45E3-9A74-042EB68CC1E3}" name="ND_RZ"/>
    <tableColumn id="5" xr3:uid="{ED8D2B24-656C-4717-AFA9-E7D1C0096BA8}" name="NOM"/>
    <tableColumn id="6" xr3:uid="{9FAFF230-1E2B-4D3D-89DD-A46C285F91D6}" name="PRENOM"/>
    <tableColumn id="7" xr3:uid="{97C3D9A2-D71D-4A25-B3A3-249A3A180195}" name="REGION"/>
    <tableColumn id="8" xr3:uid="{C69706AE-AD92-49D6-ACB2-F6A34684CB64}" name="VILLE"/>
    <tableColumn id="9" xr3:uid="{8F1F89CA-BBA8-4A93-B307-1EC397E60BCF}" name="ND_CP_APPRO" dataDxfId="21"/>
    <tableColumn id="10" xr3:uid="{D8946467-F7D2-458A-A2AC-2D9C28FCEB58}" name="APPRO_CASH" dataDxfId="20"/>
    <tableColumn id="11" xr3:uid="{001EC123-168A-409B-BDB8-0B57C5E6C608}" name="APPRO_UME" dataDxfId="19"/>
    <tableColumn id="12" xr3:uid="{E9600FFD-B08C-4485-A2AB-51617530639F}" name="MONTANT_CI" dataDxfId="1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E84963-C593-41E0-9A57-3B305CDD9A6C}" name="Table1" displayName="Table1" ref="A1:J434" totalsRowShown="0" headerRowDxfId="17">
  <autoFilter ref="A1:J434" xr:uid="{68E84963-C593-41E0-9A57-3B305CDD9A6C}"/>
  <tableColumns count="10">
    <tableColumn id="1" xr3:uid="{7CCEDFD4-EEE7-4364-BFEB-8FB73F9F6D5C}" name="WEEK_START" dataDxfId="16"/>
    <tableColumn id="2" xr3:uid="{F5D9BD0D-2297-4D62-BDE3-BF81E89E54D1}" name="NOM_TDP"/>
    <tableColumn id="3" xr3:uid="{2959A126-4774-40C7-A966-49C9A471FFDB}" name="ND_RZ"/>
    <tableColumn id="4" xr3:uid="{85C561C8-FCDD-445C-96BE-0A9FB9353299}" name="ND_CP" dataDxfId="0">
      <calculatedColumnFormula xml:space="preserve"> "342856178" &amp; ROW()</calculatedColumnFormula>
    </tableColumn>
    <tableColumn id="5" xr3:uid="{43F6DD2E-0C1A-4C06-9E6C-02C16154AAFF}" name="NOM"/>
    <tableColumn id="6" xr3:uid="{031CFBA2-41AA-4AC6-8167-4C782D1A12D4}" name="PRENOM"/>
    <tableColumn id="7" xr3:uid="{F5073376-75BB-4C91-86DA-D0A489FA7FA3}" name="REGION"/>
    <tableColumn id="8" xr3:uid="{A5F4FD7A-6104-446B-83B9-E886D3233F6A}" name="VILLE"/>
    <tableColumn id="9" xr3:uid="{E181EA1D-9119-4EE5-AAAE-1D4F49FE4F1C}" name="APPRO_UME_RZ" dataDxfId="15"/>
    <tableColumn id="10" xr3:uid="{02622136-87A3-4096-BBDD-B394375F8BA0}" name="APPRO_CASH_RZ" dataDxfId="1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D5C3DD6-2D2A-4234-9A12-6B0EA1660F09}" name="Table2" displayName="Table2" ref="A2:N804" totalsRowShown="0" headerRowDxfId="13" dataDxfId="12" tableBorderDxfId="11">
  <autoFilter ref="A2:N804" xr:uid="{AD5C3DD6-2D2A-4234-9A12-6B0EA1660F09}"/>
  <tableColumns count="14">
    <tableColumn id="1" xr3:uid="{3A2E3313-FE00-4AC5-B573-2F0A7CCA8BCE}" name="WEEK START" dataDxfId="10"/>
    <tableColumn id="2" xr3:uid="{EE94E339-4AA2-4E3F-9662-100DB360F056}" name="NOM TDP"/>
    <tableColumn id="3" xr3:uid="{EBB2344F-4365-4C9C-8084-E4303CF80EAF}" name="ND CP">
      <calculatedColumnFormula xml:space="preserve"> "342856178" &amp; ROW()</calculatedColumnFormula>
    </tableColumn>
    <tableColumn id="4" xr3:uid="{AED28B63-E4B2-43AF-B490-82FFE596600D}" name="NOM CP">
      <calculatedColumnFormula>"Client"  &amp; ROW()</calculatedColumnFormula>
    </tableColumn>
    <tableColumn id="5" xr3:uid="{B8FE259F-69B0-4EAF-9188-ED57CB7C0C3A}" name="PRENOM CP" dataDxfId="1">
      <calculatedColumnFormula>"BOB"&amp;ROW()</calculatedColumnFormula>
    </tableColumn>
    <tableColumn id="6" xr3:uid="{F77A0C31-5170-4446-A4E5-9CE65C06C0A6}" name="REGION"/>
    <tableColumn id="7" xr3:uid="{B62D43C0-D22B-4EC9-85AF-73C77411FCBA}" name="VILLE" dataDxfId="9"/>
    <tableColumn id="8" xr3:uid="{E9083519-7630-4389-817C-869EC1E77D97}" name="APPRO UME TDP" dataDxfId="8"/>
    <tableColumn id="9" xr3:uid="{4229F531-C598-4458-A3F5-3E71E15DB6E2}" name="APPRO CASH TDP" dataDxfId="7"/>
    <tableColumn id="10" xr3:uid="{6C83720A-6540-45B6-A19F-29539CB6EF89}" name="APPRO UME RZ" dataDxfId="6"/>
    <tableColumn id="11" xr3:uid="{911D67F9-C8A6-42B3-92AF-650CF0589B90}" name="APPRO CASH RZ" dataDxfId="5"/>
    <tableColumn id="12" xr3:uid="{97EA1413-62C1-410A-90B7-3CD988B4D28B}" name="MONTANT CI" dataDxfId="4"/>
    <tableColumn id="13" xr3:uid="{454D1663-3E25-446A-9203-36DC12E19599}" name="MONTANT CO" dataDxfId="3"/>
    <tableColumn id="14" xr3:uid="{8C4EA680-8770-4F73-97E5-F7B85B19398D}" name="MONTANT CI SHOP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8"/>
  <sheetViews>
    <sheetView workbookViewId="0">
      <selection activeCell="D3" sqref="D3"/>
    </sheetView>
  </sheetViews>
  <sheetFormatPr defaultColWidth="11.5546875" defaultRowHeight="14.4" x14ac:dyDescent="0.3"/>
  <cols>
    <col min="1" max="1" width="14.109375" customWidth="1"/>
    <col min="2" max="2" width="27.6640625" customWidth="1"/>
    <col min="3" max="3" width="18.109375" customWidth="1"/>
    <col min="4" max="4" width="17" customWidth="1"/>
    <col min="5" max="5" width="31.6640625" customWidth="1"/>
    <col min="6" max="6" width="22.6640625" customWidth="1"/>
    <col min="7" max="7" width="14.6640625" customWidth="1"/>
    <col min="8" max="8" width="12.6640625" customWidth="1"/>
    <col min="9" max="9" width="15.5546875" customWidth="1"/>
    <col min="10" max="10" width="14.33203125" customWidth="1"/>
    <col min="11" max="11" width="13.88671875" customWidth="1"/>
    <col min="12" max="12" width="14.5546875" customWidth="1"/>
  </cols>
  <sheetData>
    <row r="1" spans="1:12" x14ac:dyDescent="0.3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</row>
    <row r="2" spans="1:12" x14ac:dyDescent="0.3">
      <c r="A2" s="10">
        <v>46020</v>
      </c>
      <c r="B2" t="s">
        <v>19</v>
      </c>
      <c r="C2">
        <v>34044564621</v>
      </c>
      <c r="D2" t="str">
        <f xml:space="preserve"> "0342856178" &amp; ROW()</f>
        <v>03428561782</v>
      </c>
      <c r="E2" t="str">
        <f>"Client"  &amp; ROW()</f>
        <v>Client2</v>
      </c>
      <c r="F2" t="str">
        <f>details_appro_rz!F5</f>
        <v>BOB5</v>
      </c>
      <c r="G2" t="s">
        <v>21</v>
      </c>
      <c r="H2" t="s">
        <v>22</v>
      </c>
      <c r="I2" s="11">
        <v>14</v>
      </c>
      <c r="J2" s="11">
        <v>20025000</v>
      </c>
      <c r="K2" s="11">
        <v>538823400</v>
      </c>
      <c r="L2" s="11">
        <v>0</v>
      </c>
    </row>
    <row r="3" spans="1:12" x14ac:dyDescent="0.3">
      <c r="A3" s="10">
        <v>46020</v>
      </c>
      <c r="B3" t="s">
        <v>19</v>
      </c>
      <c r="C3">
        <v>34044564621</v>
      </c>
      <c r="D3" t="str">
        <f t="shared" ref="D3:D27" si="0" xml:space="preserve"> "0342856178" &amp; ROW()</f>
        <v>03428561783</v>
      </c>
      <c r="E3" t="str">
        <f t="shared" ref="E3:E27" si="1">"Client"  &amp; ROW()</f>
        <v>Client3</v>
      </c>
      <c r="F3" t="str">
        <f t="shared" ref="F3:F27" si="2">"BOB"&amp;ROW()</f>
        <v>BOB3</v>
      </c>
      <c r="G3" t="s">
        <v>24</v>
      </c>
      <c r="H3" t="s">
        <v>22</v>
      </c>
      <c r="I3" s="11">
        <v>33</v>
      </c>
      <c r="J3" s="11">
        <v>321997000</v>
      </c>
      <c r="K3" s="11">
        <v>323709600</v>
      </c>
      <c r="L3" s="11">
        <v>0</v>
      </c>
    </row>
    <row r="4" spans="1:12" x14ac:dyDescent="0.3">
      <c r="A4" s="10">
        <v>46020</v>
      </c>
      <c r="B4" t="s">
        <v>19</v>
      </c>
      <c r="C4">
        <v>34044564621</v>
      </c>
      <c r="D4" t="str">
        <f t="shared" si="0"/>
        <v>03428561784</v>
      </c>
      <c r="E4" t="str">
        <f t="shared" si="1"/>
        <v>Client4</v>
      </c>
      <c r="F4" t="str">
        <f t="shared" si="2"/>
        <v>BOB4</v>
      </c>
      <c r="G4" t="s">
        <v>26</v>
      </c>
      <c r="H4" t="s">
        <v>27</v>
      </c>
      <c r="I4" s="11">
        <v>56</v>
      </c>
      <c r="J4" s="11">
        <v>276762500</v>
      </c>
      <c r="K4" s="11">
        <v>237033800</v>
      </c>
      <c r="L4" s="11">
        <v>0</v>
      </c>
    </row>
    <row r="5" spans="1:12" x14ac:dyDescent="0.3">
      <c r="A5" s="10">
        <v>46020</v>
      </c>
      <c r="B5" t="s">
        <v>19</v>
      </c>
      <c r="C5">
        <v>34044564621</v>
      </c>
      <c r="D5" t="str">
        <f t="shared" si="0"/>
        <v>03428561785</v>
      </c>
      <c r="E5" t="str">
        <f t="shared" si="1"/>
        <v>Client5</v>
      </c>
      <c r="F5" t="str">
        <f t="shared" si="2"/>
        <v>BOB5</v>
      </c>
      <c r="G5" t="s">
        <v>24</v>
      </c>
      <c r="H5" t="s">
        <v>22</v>
      </c>
      <c r="I5" s="11">
        <v>5</v>
      </c>
      <c r="J5" s="11">
        <v>31500000</v>
      </c>
      <c r="K5" s="11">
        <v>214500000</v>
      </c>
      <c r="L5" s="11">
        <v>0</v>
      </c>
    </row>
    <row r="6" spans="1:12" x14ac:dyDescent="0.3">
      <c r="A6" s="10">
        <v>46020</v>
      </c>
      <c r="B6" t="s">
        <v>19</v>
      </c>
      <c r="C6">
        <v>34044564621</v>
      </c>
      <c r="D6" t="str">
        <f t="shared" si="0"/>
        <v>03428561786</v>
      </c>
      <c r="E6" t="str">
        <f t="shared" si="1"/>
        <v>Client6</v>
      </c>
      <c r="F6" t="str">
        <f t="shared" si="2"/>
        <v>BOB6</v>
      </c>
      <c r="G6" t="s">
        <v>30</v>
      </c>
      <c r="H6" t="s">
        <v>22</v>
      </c>
      <c r="I6" s="11">
        <v>33</v>
      </c>
      <c r="J6" s="11">
        <v>180236400</v>
      </c>
      <c r="K6" s="11">
        <v>184356400</v>
      </c>
      <c r="L6" s="11">
        <v>0</v>
      </c>
    </row>
    <row r="7" spans="1:12" x14ac:dyDescent="0.3">
      <c r="A7" s="10">
        <v>46020</v>
      </c>
      <c r="B7" t="s">
        <v>19</v>
      </c>
      <c r="C7">
        <v>34044564621</v>
      </c>
      <c r="D7" t="str">
        <f t="shared" si="0"/>
        <v>03428561787</v>
      </c>
      <c r="E7" t="str">
        <f t="shared" si="1"/>
        <v>Client7</v>
      </c>
      <c r="F7" t="str">
        <f t="shared" si="2"/>
        <v>BOB7</v>
      </c>
      <c r="G7" t="s">
        <v>32</v>
      </c>
      <c r="H7" t="s">
        <v>22</v>
      </c>
      <c r="I7" s="11">
        <v>20</v>
      </c>
      <c r="J7" s="11">
        <v>126299200</v>
      </c>
      <c r="K7" s="11">
        <v>183251199</v>
      </c>
      <c r="L7" s="11">
        <v>0</v>
      </c>
    </row>
    <row r="8" spans="1:12" x14ac:dyDescent="0.3">
      <c r="A8" s="10">
        <v>46020</v>
      </c>
      <c r="B8" t="s">
        <v>19</v>
      </c>
      <c r="C8">
        <v>34044564621</v>
      </c>
      <c r="D8" t="str">
        <f t="shared" si="0"/>
        <v>03428561788</v>
      </c>
      <c r="E8" t="str">
        <f t="shared" si="1"/>
        <v>Client8</v>
      </c>
      <c r="F8" t="str">
        <f t="shared" si="2"/>
        <v>BOB8</v>
      </c>
      <c r="G8" t="s">
        <v>32</v>
      </c>
      <c r="H8" t="s">
        <v>22</v>
      </c>
      <c r="I8" s="11">
        <v>24</v>
      </c>
      <c r="J8" s="11">
        <v>214503100</v>
      </c>
      <c r="K8" s="11">
        <v>121225000</v>
      </c>
      <c r="L8" s="11">
        <v>0</v>
      </c>
    </row>
    <row r="9" spans="1:12" x14ac:dyDescent="0.3">
      <c r="A9" s="10">
        <v>46020</v>
      </c>
      <c r="B9" t="s">
        <v>19</v>
      </c>
      <c r="C9">
        <v>34044564621</v>
      </c>
      <c r="D9" t="str">
        <f t="shared" si="0"/>
        <v>03428561789</v>
      </c>
      <c r="E9" t="str">
        <f t="shared" si="1"/>
        <v>Client9</v>
      </c>
      <c r="F9" t="str">
        <f t="shared" si="2"/>
        <v>BOB9</v>
      </c>
      <c r="G9" t="s">
        <v>32</v>
      </c>
      <c r="H9" t="s">
        <v>22</v>
      </c>
      <c r="I9" s="11">
        <v>43</v>
      </c>
      <c r="J9" s="11">
        <v>113557500</v>
      </c>
      <c r="K9" s="11">
        <v>113557500</v>
      </c>
      <c r="L9" s="11">
        <v>0</v>
      </c>
    </row>
    <row r="10" spans="1:12" x14ac:dyDescent="0.3">
      <c r="A10" s="10">
        <v>46020</v>
      </c>
      <c r="B10" t="s">
        <v>19</v>
      </c>
      <c r="C10">
        <v>34044564621</v>
      </c>
      <c r="D10" t="str">
        <f t="shared" si="0"/>
        <v>034285617810</v>
      </c>
      <c r="E10" t="str">
        <f t="shared" si="1"/>
        <v>Client10</v>
      </c>
      <c r="F10" t="str">
        <f t="shared" si="2"/>
        <v>BOB10</v>
      </c>
      <c r="G10" t="s">
        <v>24</v>
      </c>
      <c r="H10" t="s">
        <v>22</v>
      </c>
      <c r="I10" s="11">
        <v>51</v>
      </c>
      <c r="J10" s="11">
        <v>108152500</v>
      </c>
      <c r="K10" s="11">
        <v>111140000</v>
      </c>
      <c r="L10" s="11">
        <v>0</v>
      </c>
    </row>
    <row r="11" spans="1:12" x14ac:dyDescent="0.3">
      <c r="A11" s="10">
        <v>46020</v>
      </c>
      <c r="B11" t="s">
        <v>19</v>
      </c>
      <c r="C11">
        <v>34044564621</v>
      </c>
      <c r="D11" t="str">
        <f t="shared" si="0"/>
        <v>034285617811</v>
      </c>
      <c r="E11" t="str">
        <f t="shared" si="1"/>
        <v>Client11</v>
      </c>
      <c r="F11" t="str">
        <f t="shared" si="2"/>
        <v>BOB11</v>
      </c>
      <c r="G11" t="s">
        <v>21</v>
      </c>
      <c r="H11" t="s">
        <v>22</v>
      </c>
      <c r="I11" s="11">
        <v>19</v>
      </c>
      <c r="J11" s="11">
        <v>70793500</v>
      </c>
      <c r="K11" s="11">
        <v>95800000</v>
      </c>
      <c r="L11" s="11">
        <v>0</v>
      </c>
    </row>
    <row r="12" spans="1:12" x14ac:dyDescent="0.3">
      <c r="A12" s="10">
        <v>46020</v>
      </c>
      <c r="B12" t="s">
        <v>19</v>
      </c>
      <c r="C12">
        <v>34044564621</v>
      </c>
      <c r="D12" t="str">
        <f t="shared" si="0"/>
        <v>034285617812</v>
      </c>
      <c r="E12" t="str">
        <f t="shared" si="1"/>
        <v>Client12</v>
      </c>
      <c r="F12" t="str">
        <f t="shared" si="2"/>
        <v>BOB12</v>
      </c>
      <c r="G12" t="s">
        <v>32</v>
      </c>
      <c r="H12" t="s">
        <v>22</v>
      </c>
      <c r="I12" s="11">
        <v>5</v>
      </c>
      <c r="J12" s="11">
        <v>5467000</v>
      </c>
      <c r="K12" s="11">
        <v>85867000</v>
      </c>
      <c r="L12" s="11">
        <v>0</v>
      </c>
    </row>
    <row r="13" spans="1:12" x14ac:dyDescent="0.3">
      <c r="A13" s="10">
        <v>46020</v>
      </c>
      <c r="B13" t="s">
        <v>19</v>
      </c>
      <c r="C13">
        <v>34044564621</v>
      </c>
      <c r="D13" t="str">
        <f t="shared" si="0"/>
        <v>034285617813</v>
      </c>
      <c r="E13" t="str">
        <f t="shared" si="1"/>
        <v>Client13</v>
      </c>
      <c r="F13" t="str">
        <f t="shared" si="2"/>
        <v>BOB13</v>
      </c>
      <c r="G13" t="s">
        <v>21</v>
      </c>
      <c r="H13" t="s">
        <v>22</v>
      </c>
      <c r="I13" s="11">
        <v>7</v>
      </c>
      <c r="J13" s="11">
        <v>2633000</v>
      </c>
      <c r="K13" s="11">
        <v>74337000</v>
      </c>
      <c r="L13" s="11">
        <v>0</v>
      </c>
    </row>
    <row r="14" spans="1:12" x14ac:dyDescent="0.3">
      <c r="A14" s="10">
        <v>46020</v>
      </c>
      <c r="B14" t="s">
        <v>19</v>
      </c>
      <c r="C14">
        <v>34044564621</v>
      </c>
      <c r="D14" t="str">
        <f t="shared" si="0"/>
        <v>034285617814</v>
      </c>
      <c r="E14" t="str">
        <f t="shared" si="1"/>
        <v>Client14</v>
      </c>
      <c r="F14" t="str">
        <f t="shared" si="2"/>
        <v>BOB14</v>
      </c>
      <c r="G14" t="s">
        <v>32</v>
      </c>
      <c r="H14" t="s">
        <v>22</v>
      </c>
      <c r="I14" s="11">
        <v>31</v>
      </c>
      <c r="J14" s="11">
        <v>73448600</v>
      </c>
      <c r="K14" s="11">
        <v>73448600</v>
      </c>
      <c r="L14" s="11">
        <v>0</v>
      </c>
    </row>
    <row r="15" spans="1:12" x14ac:dyDescent="0.3">
      <c r="A15" s="10">
        <v>46020</v>
      </c>
      <c r="B15" t="s">
        <v>19</v>
      </c>
      <c r="C15">
        <v>34044564621</v>
      </c>
      <c r="D15" t="str">
        <f t="shared" si="0"/>
        <v>034285617815</v>
      </c>
      <c r="E15" t="str">
        <f t="shared" si="1"/>
        <v>Client15</v>
      </c>
      <c r="F15" t="str">
        <f t="shared" si="2"/>
        <v>BOB15</v>
      </c>
      <c r="I15" s="11">
        <v>31</v>
      </c>
      <c r="J15" s="11">
        <v>44987500</v>
      </c>
      <c r="K15" s="11">
        <v>52000000</v>
      </c>
      <c r="L15" s="11">
        <v>0</v>
      </c>
    </row>
    <row r="16" spans="1:12" x14ac:dyDescent="0.3">
      <c r="A16" s="10">
        <v>46020</v>
      </c>
      <c r="B16" t="s">
        <v>19</v>
      </c>
      <c r="C16">
        <v>34044564621</v>
      </c>
      <c r="D16" t="str">
        <f t="shared" si="0"/>
        <v>034285617816</v>
      </c>
      <c r="E16" t="str">
        <f t="shared" si="1"/>
        <v>Client16</v>
      </c>
      <c r="F16" t="str">
        <f t="shared" si="2"/>
        <v>BOB16</v>
      </c>
      <c r="G16" t="s">
        <v>21</v>
      </c>
      <c r="H16" t="s">
        <v>22</v>
      </c>
      <c r="I16" s="11">
        <v>3</v>
      </c>
      <c r="J16" s="11">
        <v>8079400</v>
      </c>
      <c r="K16" s="11">
        <v>26215000</v>
      </c>
      <c r="L16" s="11">
        <v>0</v>
      </c>
    </row>
    <row r="17" spans="1:12" x14ac:dyDescent="0.3">
      <c r="A17" s="10">
        <v>46020</v>
      </c>
      <c r="B17" t="s">
        <v>19</v>
      </c>
      <c r="C17">
        <v>34044564621</v>
      </c>
      <c r="D17" t="str">
        <f t="shared" si="0"/>
        <v>034285617817</v>
      </c>
      <c r="E17" t="str">
        <f t="shared" si="1"/>
        <v>Client17</v>
      </c>
      <c r="F17" t="str">
        <f t="shared" si="2"/>
        <v>BOB17</v>
      </c>
      <c r="G17" t="s">
        <v>21</v>
      </c>
      <c r="H17" t="s">
        <v>22</v>
      </c>
      <c r="I17" s="11">
        <v>14</v>
      </c>
      <c r="J17" s="11">
        <v>20400000</v>
      </c>
      <c r="K17" s="11">
        <v>20400000</v>
      </c>
      <c r="L17" s="11">
        <v>0</v>
      </c>
    </row>
    <row r="18" spans="1:12" x14ac:dyDescent="0.3">
      <c r="A18" s="10">
        <v>46020</v>
      </c>
      <c r="B18" t="s">
        <v>19</v>
      </c>
      <c r="C18">
        <v>34044564621</v>
      </c>
      <c r="D18" t="str">
        <f t="shared" si="0"/>
        <v>034285617818</v>
      </c>
      <c r="E18" t="str">
        <f t="shared" si="1"/>
        <v>Client18</v>
      </c>
      <c r="F18" t="str">
        <f t="shared" si="2"/>
        <v>BOB18</v>
      </c>
      <c r="G18" t="s">
        <v>21</v>
      </c>
      <c r="H18" t="s">
        <v>22</v>
      </c>
      <c r="I18" s="11">
        <v>9</v>
      </c>
      <c r="J18" s="11">
        <v>17710000</v>
      </c>
      <c r="K18" s="11">
        <v>17710000</v>
      </c>
      <c r="L18" s="11">
        <v>0</v>
      </c>
    </row>
    <row r="19" spans="1:12" x14ac:dyDescent="0.3">
      <c r="A19" s="10">
        <v>46020</v>
      </c>
      <c r="B19" t="s">
        <v>19</v>
      </c>
      <c r="C19">
        <v>34044564621</v>
      </c>
      <c r="D19" t="str">
        <f t="shared" si="0"/>
        <v>034285617819</v>
      </c>
      <c r="E19" t="str">
        <f t="shared" si="1"/>
        <v>Client19</v>
      </c>
      <c r="F19" t="str">
        <f t="shared" si="2"/>
        <v>BOB19</v>
      </c>
      <c r="G19" t="s">
        <v>21</v>
      </c>
      <c r="H19" t="s">
        <v>22</v>
      </c>
      <c r="I19" s="11">
        <v>6</v>
      </c>
      <c r="J19" s="11">
        <v>9285200</v>
      </c>
      <c r="K19" s="11">
        <v>13100000</v>
      </c>
      <c r="L19" s="11">
        <v>0</v>
      </c>
    </row>
    <row r="20" spans="1:12" x14ac:dyDescent="0.3">
      <c r="A20" s="10">
        <v>46020</v>
      </c>
      <c r="B20" t="s">
        <v>19</v>
      </c>
      <c r="C20">
        <v>34044564621</v>
      </c>
      <c r="D20" t="str">
        <f t="shared" si="0"/>
        <v>034285617820</v>
      </c>
      <c r="E20" t="str">
        <f t="shared" si="1"/>
        <v>Client20</v>
      </c>
      <c r="F20" t="str">
        <f t="shared" si="2"/>
        <v>BOB20</v>
      </c>
      <c r="G20" t="s">
        <v>32</v>
      </c>
      <c r="H20" t="s">
        <v>22</v>
      </c>
      <c r="I20" s="11">
        <v>4</v>
      </c>
      <c r="J20" s="11">
        <v>12300000</v>
      </c>
      <c r="K20" s="11">
        <v>12300000</v>
      </c>
      <c r="L20" s="11">
        <v>0</v>
      </c>
    </row>
    <row r="21" spans="1:12" x14ac:dyDescent="0.3">
      <c r="A21" s="10">
        <v>46020</v>
      </c>
      <c r="B21" t="s">
        <v>19</v>
      </c>
      <c r="C21">
        <v>34044564621</v>
      </c>
      <c r="D21" t="str">
        <f t="shared" si="0"/>
        <v>034285617821</v>
      </c>
      <c r="E21" t="str">
        <f t="shared" si="1"/>
        <v>Client21</v>
      </c>
      <c r="F21" t="str">
        <f t="shared" si="2"/>
        <v>BOB21</v>
      </c>
      <c r="G21" t="s">
        <v>21</v>
      </c>
      <c r="H21" t="s">
        <v>22</v>
      </c>
      <c r="I21" s="11">
        <v>4</v>
      </c>
      <c r="J21" s="11">
        <v>5023000</v>
      </c>
      <c r="K21" s="11">
        <v>11200000</v>
      </c>
      <c r="L21" s="11">
        <v>0</v>
      </c>
    </row>
    <row r="22" spans="1:12" x14ac:dyDescent="0.3">
      <c r="A22" s="10">
        <v>46020</v>
      </c>
      <c r="B22" t="s">
        <v>19</v>
      </c>
      <c r="C22">
        <v>34044564621</v>
      </c>
      <c r="D22" t="str">
        <f t="shared" si="0"/>
        <v>034285617822</v>
      </c>
      <c r="E22" t="str">
        <f t="shared" si="1"/>
        <v>Client22</v>
      </c>
      <c r="F22" t="str">
        <f t="shared" si="2"/>
        <v>BOB22</v>
      </c>
      <c r="I22" s="11">
        <v>8</v>
      </c>
      <c r="J22" s="11">
        <v>8800000</v>
      </c>
      <c r="K22" s="11">
        <v>8800000</v>
      </c>
      <c r="L22" s="11">
        <v>0</v>
      </c>
    </row>
    <row r="23" spans="1:12" x14ac:dyDescent="0.3">
      <c r="A23" s="10">
        <v>46020</v>
      </c>
      <c r="B23" t="s">
        <v>19</v>
      </c>
      <c r="C23">
        <v>34044564621</v>
      </c>
      <c r="D23" t="str">
        <f t="shared" si="0"/>
        <v>034285617823</v>
      </c>
      <c r="E23" t="str">
        <f t="shared" si="1"/>
        <v>Client23</v>
      </c>
      <c r="F23" t="str">
        <f t="shared" si="2"/>
        <v>BOB23</v>
      </c>
      <c r="I23" s="11">
        <v>2</v>
      </c>
      <c r="J23" s="11">
        <v>2000000</v>
      </c>
      <c r="K23" s="11">
        <v>2000000</v>
      </c>
      <c r="L23" s="11">
        <v>0</v>
      </c>
    </row>
    <row r="24" spans="1:12" x14ac:dyDescent="0.3">
      <c r="A24" s="10">
        <v>46020</v>
      </c>
      <c r="B24" t="s">
        <v>19</v>
      </c>
      <c r="C24">
        <v>34044564621</v>
      </c>
      <c r="D24" t="str">
        <f t="shared" si="0"/>
        <v>034285617824</v>
      </c>
      <c r="E24" t="str">
        <f t="shared" si="1"/>
        <v>Client24</v>
      </c>
      <c r="F24" t="str">
        <f t="shared" si="2"/>
        <v>BOB24</v>
      </c>
      <c r="G24" t="s">
        <v>21</v>
      </c>
      <c r="H24" t="s">
        <v>22</v>
      </c>
      <c r="I24" s="11">
        <v>3</v>
      </c>
      <c r="J24" s="11">
        <v>1420000</v>
      </c>
      <c r="K24" s="11">
        <v>1420000</v>
      </c>
      <c r="L24" s="11">
        <v>0</v>
      </c>
    </row>
    <row r="25" spans="1:12" x14ac:dyDescent="0.3">
      <c r="A25" s="10">
        <v>46020</v>
      </c>
      <c r="B25" t="s">
        <v>19</v>
      </c>
      <c r="C25">
        <v>34044564621</v>
      </c>
      <c r="D25" t="str">
        <f t="shared" si="0"/>
        <v>034285617825</v>
      </c>
      <c r="E25" t="str">
        <f t="shared" si="1"/>
        <v>Client25</v>
      </c>
      <c r="F25" t="str">
        <f t="shared" si="2"/>
        <v>BOB25</v>
      </c>
      <c r="G25" t="s">
        <v>32</v>
      </c>
      <c r="H25" t="s">
        <v>22</v>
      </c>
      <c r="I25" s="11">
        <v>3</v>
      </c>
      <c r="J25" s="11">
        <v>0</v>
      </c>
      <c r="K25" s="11">
        <v>1000000</v>
      </c>
      <c r="L25" s="11">
        <v>0</v>
      </c>
    </row>
    <row r="26" spans="1:12" x14ac:dyDescent="0.3">
      <c r="A26" s="10">
        <v>46020</v>
      </c>
      <c r="B26" t="s">
        <v>19</v>
      </c>
      <c r="C26">
        <v>34044564621</v>
      </c>
      <c r="D26" t="str">
        <f t="shared" si="0"/>
        <v>034285617826</v>
      </c>
      <c r="E26" t="str">
        <f t="shared" si="1"/>
        <v>Client26</v>
      </c>
      <c r="F26" t="str">
        <f t="shared" si="2"/>
        <v>BOB26</v>
      </c>
      <c r="G26" t="s">
        <v>26</v>
      </c>
      <c r="H26" t="s">
        <v>27</v>
      </c>
      <c r="I26" s="11">
        <v>1</v>
      </c>
      <c r="J26" s="11">
        <v>0</v>
      </c>
      <c r="K26" s="11">
        <v>174000</v>
      </c>
      <c r="L26" s="11">
        <v>0</v>
      </c>
    </row>
    <row r="27" spans="1:12" x14ac:dyDescent="0.3">
      <c r="A27" s="10">
        <v>46020</v>
      </c>
      <c r="B27" t="s">
        <v>19</v>
      </c>
      <c r="C27">
        <v>34044564621</v>
      </c>
      <c r="D27" t="str">
        <f t="shared" si="0"/>
        <v>034285617827</v>
      </c>
      <c r="E27" t="str">
        <f t="shared" si="1"/>
        <v>Client27</v>
      </c>
      <c r="F27" t="str">
        <f t="shared" si="2"/>
        <v>BOB27</v>
      </c>
      <c r="G27" t="s">
        <v>21</v>
      </c>
      <c r="H27" t="s">
        <v>22</v>
      </c>
      <c r="I27" s="11">
        <v>3</v>
      </c>
      <c r="J27" s="11">
        <v>6704000</v>
      </c>
      <c r="K27" s="11">
        <v>0</v>
      </c>
      <c r="L27" s="11">
        <v>0</v>
      </c>
    </row>
    <row r="28" spans="1:12" x14ac:dyDescent="0.3">
      <c r="I28" s="11"/>
      <c r="J28" s="11"/>
      <c r="K28" s="11"/>
      <c r="L28" s="11"/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4"/>
  <sheetViews>
    <sheetView workbookViewId="0">
      <selection activeCell="F9" sqref="F9"/>
    </sheetView>
  </sheetViews>
  <sheetFormatPr defaultColWidth="11.5546875" defaultRowHeight="14.4" x14ac:dyDescent="0.3"/>
  <cols>
    <col min="1" max="1" width="14.109375" customWidth="1"/>
    <col min="2" max="2" width="27.6640625" customWidth="1"/>
    <col min="3" max="3" width="9.6640625" customWidth="1"/>
    <col min="4" max="4" width="22.77734375" customWidth="1"/>
    <col min="5" max="5" width="31.6640625" customWidth="1"/>
    <col min="6" max="6" width="22.6640625" customWidth="1"/>
    <col min="7" max="7" width="14.6640625" customWidth="1"/>
    <col min="8" max="8" width="12.6640625" customWidth="1"/>
    <col min="9" max="9" width="17" customWidth="1"/>
    <col min="10" max="10" width="17.44140625" customWidth="1"/>
  </cols>
  <sheetData>
    <row r="1" spans="1:10" x14ac:dyDescent="0.3">
      <c r="A1" s="9" t="s">
        <v>7</v>
      </c>
      <c r="B1" s="9" t="s">
        <v>8</v>
      </c>
      <c r="C1" s="9" t="s">
        <v>10</v>
      </c>
      <c r="D1" s="9" t="s">
        <v>53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54</v>
      </c>
      <c r="J1" s="9" t="s">
        <v>55</v>
      </c>
    </row>
    <row r="2" spans="1:10" x14ac:dyDescent="0.3">
      <c r="A2" s="10">
        <v>46020</v>
      </c>
      <c r="B2" t="s">
        <v>19</v>
      </c>
      <c r="C2" t="s">
        <v>23</v>
      </c>
      <c r="D2" t="str">
        <f t="shared" ref="D2:D65" si="0" xml:space="preserve"> "342856178" &amp; ROW()</f>
        <v>3428561782</v>
      </c>
      <c r="E2" t="str">
        <f>"Client"  &amp; ROW()</f>
        <v>Client2</v>
      </c>
      <c r="F2" t="str">
        <f>"BOB"&amp;ROW()</f>
        <v>BOB2</v>
      </c>
      <c r="G2" t="s">
        <v>24</v>
      </c>
      <c r="H2" t="s">
        <v>22</v>
      </c>
      <c r="I2" s="11">
        <v>268800000</v>
      </c>
      <c r="J2" s="11">
        <v>0</v>
      </c>
    </row>
    <row r="3" spans="1:10" x14ac:dyDescent="0.3">
      <c r="A3" s="10">
        <v>46020</v>
      </c>
      <c r="B3" t="s">
        <v>19</v>
      </c>
      <c r="C3" t="s">
        <v>28</v>
      </c>
      <c r="D3" t="str">
        <f t="shared" si="0"/>
        <v>3428561783</v>
      </c>
      <c r="E3" t="str">
        <f t="shared" ref="E3:E66" si="1">"Client"  &amp; ROW()</f>
        <v>Client3</v>
      </c>
      <c r="F3" t="str">
        <f t="shared" ref="F3:F66" si="2">"BOB"&amp;ROW()</f>
        <v>BOB3</v>
      </c>
      <c r="G3" t="s">
        <v>24</v>
      </c>
      <c r="H3" t="s">
        <v>22</v>
      </c>
      <c r="I3" s="11">
        <v>160000000</v>
      </c>
      <c r="J3" s="11">
        <v>10000000</v>
      </c>
    </row>
    <row r="4" spans="1:10" x14ac:dyDescent="0.3">
      <c r="A4" s="10">
        <v>46020</v>
      </c>
      <c r="B4" t="s">
        <v>19</v>
      </c>
      <c r="C4" t="s">
        <v>29</v>
      </c>
      <c r="D4" t="str">
        <f t="shared" si="0"/>
        <v>3428561784</v>
      </c>
      <c r="E4" t="str">
        <f t="shared" si="1"/>
        <v>Client4</v>
      </c>
      <c r="F4" t="str">
        <f t="shared" si="2"/>
        <v>BOB4</v>
      </c>
      <c r="G4" t="s">
        <v>30</v>
      </c>
      <c r="H4" t="s">
        <v>22</v>
      </c>
      <c r="I4" s="11">
        <v>140746400</v>
      </c>
      <c r="J4" s="11">
        <v>910000</v>
      </c>
    </row>
    <row r="5" spans="1:10" x14ac:dyDescent="0.3">
      <c r="A5" s="10">
        <v>46020</v>
      </c>
      <c r="B5" t="s">
        <v>19</v>
      </c>
      <c r="C5" t="s">
        <v>20</v>
      </c>
      <c r="D5" t="str">
        <f t="shared" si="0"/>
        <v>3428561785</v>
      </c>
      <c r="E5" t="str">
        <f t="shared" si="1"/>
        <v>Client5</v>
      </c>
      <c r="F5" t="str">
        <f t="shared" si="2"/>
        <v>BOB5</v>
      </c>
      <c r="G5" t="s">
        <v>21</v>
      </c>
      <c r="H5" t="s">
        <v>22</v>
      </c>
      <c r="I5" s="11">
        <v>127010500</v>
      </c>
      <c r="J5" s="11">
        <v>0</v>
      </c>
    </row>
    <row r="6" spans="1:10" x14ac:dyDescent="0.3">
      <c r="A6" s="10">
        <v>46020</v>
      </c>
      <c r="B6" t="s">
        <v>19</v>
      </c>
      <c r="C6" t="s">
        <v>20</v>
      </c>
      <c r="D6" t="str">
        <f t="shared" si="0"/>
        <v>3428561786</v>
      </c>
      <c r="E6" t="str">
        <f t="shared" si="1"/>
        <v>Client6</v>
      </c>
      <c r="F6" t="str">
        <f t="shared" si="2"/>
        <v>BOB6</v>
      </c>
      <c r="G6" t="s">
        <v>21</v>
      </c>
      <c r="H6" t="s">
        <v>22</v>
      </c>
      <c r="I6" s="11">
        <v>112981100</v>
      </c>
      <c r="J6" s="11">
        <v>0</v>
      </c>
    </row>
    <row r="7" spans="1:10" x14ac:dyDescent="0.3">
      <c r="A7" s="10">
        <v>46020</v>
      </c>
      <c r="B7" t="s">
        <v>19</v>
      </c>
      <c r="C7" t="s">
        <v>33</v>
      </c>
      <c r="D7" t="str">
        <f t="shared" si="0"/>
        <v>3428561787</v>
      </c>
      <c r="E7" t="str">
        <f t="shared" si="1"/>
        <v>Client7</v>
      </c>
      <c r="F7" t="str">
        <f t="shared" si="2"/>
        <v>BOB7</v>
      </c>
      <c r="G7" t="s">
        <v>32</v>
      </c>
      <c r="H7" t="s">
        <v>22</v>
      </c>
      <c r="I7" s="11">
        <v>111025000</v>
      </c>
      <c r="J7" s="11">
        <v>6663000</v>
      </c>
    </row>
    <row r="8" spans="1:10" x14ac:dyDescent="0.3">
      <c r="A8" s="10">
        <v>46020</v>
      </c>
      <c r="B8" t="s">
        <v>19</v>
      </c>
      <c r="C8" t="s">
        <v>35</v>
      </c>
      <c r="D8" t="str">
        <f t="shared" si="0"/>
        <v>3428561788</v>
      </c>
      <c r="E8" t="str">
        <f t="shared" si="1"/>
        <v>Client8</v>
      </c>
      <c r="F8" t="str">
        <f t="shared" si="2"/>
        <v>BOB8</v>
      </c>
      <c r="G8" t="s">
        <v>24</v>
      </c>
      <c r="H8" t="s">
        <v>22</v>
      </c>
      <c r="I8" s="11">
        <v>80250000</v>
      </c>
      <c r="J8" s="11">
        <v>0</v>
      </c>
    </row>
    <row r="9" spans="1:10" x14ac:dyDescent="0.3">
      <c r="A9" s="10">
        <v>46020</v>
      </c>
      <c r="B9" t="s">
        <v>19</v>
      </c>
      <c r="C9" t="s">
        <v>25</v>
      </c>
      <c r="D9" t="str">
        <f t="shared" si="0"/>
        <v>3428561789</v>
      </c>
      <c r="E9" t="str">
        <f t="shared" si="1"/>
        <v>Client9</v>
      </c>
      <c r="F9" t="str">
        <f>"BOB"&amp;ROW()</f>
        <v>BOB9</v>
      </c>
      <c r="G9" t="s">
        <v>26</v>
      </c>
      <c r="H9" t="s">
        <v>27</v>
      </c>
      <c r="I9" s="11">
        <v>75955800</v>
      </c>
      <c r="J9" s="11">
        <v>25658300</v>
      </c>
    </row>
    <row r="10" spans="1:10" x14ac:dyDescent="0.3">
      <c r="A10" s="10">
        <v>46020</v>
      </c>
      <c r="B10" t="s">
        <v>19</v>
      </c>
      <c r="C10" t="s">
        <v>20</v>
      </c>
      <c r="D10" t="str">
        <f t="shared" si="0"/>
        <v>34285617810</v>
      </c>
      <c r="E10" t="str">
        <f t="shared" si="1"/>
        <v>Client10</v>
      </c>
      <c r="F10" t="str">
        <f t="shared" si="2"/>
        <v>BOB10</v>
      </c>
      <c r="G10" t="s">
        <v>21</v>
      </c>
      <c r="H10" t="s">
        <v>22</v>
      </c>
      <c r="I10" s="11">
        <v>75000000</v>
      </c>
      <c r="J10" s="11">
        <v>0</v>
      </c>
    </row>
    <row r="11" spans="1:10" x14ac:dyDescent="0.3">
      <c r="A11" s="10">
        <v>46020</v>
      </c>
      <c r="B11" t="s">
        <v>19</v>
      </c>
      <c r="C11" t="s">
        <v>36</v>
      </c>
      <c r="D11" t="str">
        <f t="shared" si="0"/>
        <v>34285617811</v>
      </c>
      <c r="E11" t="str">
        <f t="shared" si="1"/>
        <v>Client11</v>
      </c>
      <c r="F11" t="str">
        <f t="shared" si="2"/>
        <v>BOB11</v>
      </c>
      <c r="G11" t="s">
        <v>21</v>
      </c>
      <c r="H11" t="s">
        <v>22</v>
      </c>
      <c r="I11" s="11">
        <v>50900000</v>
      </c>
      <c r="J11" s="11">
        <v>0</v>
      </c>
    </row>
    <row r="12" spans="1:10" x14ac:dyDescent="0.3">
      <c r="A12" s="10">
        <v>46020</v>
      </c>
      <c r="B12" t="s">
        <v>19</v>
      </c>
      <c r="C12" t="s">
        <v>28</v>
      </c>
      <c r="D12" t="str">
        <f t="shared" si="0"/>
        <v>34285617812</v>
      </c>
      <c r="E12" t="str">
        <f t="shared" si="1"/>
        <v>Client12</v>
      </c>
      <c r="F12" t="str">
        <f t="shared" si="2"/>
        <v>BOB12</v>
      </c>
      <c r="G12" t="s">
        <v>24</v>
      </c>
      <c r="H12" t="s">
        <v>22</v>
      </c>
      <c r="I12" s="11">
        <v>45500000</v>
      </c>
      <c r="J12" s="11">
        <v>11000000</v>
      </c>
    </row>
    <row r="13" spans="1:10" x14ac:dyDescent="0.3">
      <c r="A13" s="10">
        <v>46020</v>
      </c>
      <c r="B13" t="s">
        <v>19</v>
      </c>
      <c r="C13" t="s">
        <v>37</v>
      </c>
      <c r="D13" t="str">
        <f t="shared" si="0"/>
        <v>34285617813</v>
      </c>
      <c r="E13" t="str">
        <f t="shared" si="1"/>
        <v>Client13</v>
      </c>
      <c r="F13" t="str">
        <f t="shared" si="2"/>
        <v>BOB13</v>
      </c>
      <c r="G13" t="s">
        <v>32</v>
      </c>
      <c r="H13" t="s">
        <v>22</v>
      </c>
      <c r="I13" s="11">
        <v>42880000</v>
      </c>
      <c r="J13" s="11">
        <v>3113000</v>
      </c>
    </row>
    <row r="14" spans="1:10" x14ac:dyDescent="0.3">
      <c r="A14" s="10">
        <v>46020</v>
      </c>
      <c r="B14" t="s">
        <v>19</v>
      </c>
      <c r="C14" t="s">
        <v>37</v>
      </c>
      <c r="D14" t="str">
        <f t="shared" si="0"/>
        <v>34285617814</v>
      </c>
      <c r="E14" t="str">
        <f t="shared" si="1"/>
        <v>Client14</v>
      </c>
      <c r="F14" t="str">
        <f t="shared" si="2"/>
        <v>BOB14</v>
      </c>
      <c r="G14" t="s">
        <v>32</v>
      </c>
      <c r="H14" t="s">
        <v>22</v>
      </c>
      <c r="I14" s="11">
        <v>42527000</v>
      </c>
      <c r="J14" s="11">
        <v>2004000</v>
      </c>
    </row>
    <row r="15" spans="1:10" x14ac:dyDescent="0.3">
      <c r="A15" s="10">
        <v>46020</v>
      </c>
      <c r="B15" t="s">
        <v>19</v>
      </c>
      <c r="C15" t="s">
        <v>29</v>
      </c>
      <c r="D15" t="str">
        <f t="shared" si="0"/>
        <v>34285617815</v>
      </c>
      <c r="E15" t="str">
        <f t="shared" si="1"/>
        <v>Client15</v>
      </c>
      <c r="F15" t="str">
        <f t="shared" si="2"/>
        <v>BOB15</v>
      </c>
      <c r="G15" t="s">
        <v>30</v>
      </c>
      <c r="H15" t="s">
        <v>22</v>
      </c>
      <c r="I15" s="11">
        <v>42110000</v>
      </c>
      <c r="J15" s="11">
        <v>18012900</v>
      </c>
    </row>
    <row r="16" spans="1:10" x14ac:dyDescent="0.3">
      <c r="A16" s="10">
        <v>46020</v>
      </c>
      <c r="B16" t="s">
        <v>19</v>
      </c>
      <c r="C16" t="s">
        <v>38</v>
      </c>
      <c r="D16" t="str">
        <f t="shared" si="0"/>
        <v>34285617816</v>
      </c>
      <c r="E16" t="str">
        <f t="shared" si="1"/>
        <v>Client16</v>
      </c>
      <c r="F16" t="str">
        <f t="shared" si="2"/>
        <v>BOB16</v>
      </c>
      <c r="G16" t="s">
        <v>21</v>
      </c>
      <c r="H16" t="s">
        <v>22</v>
      </c>
      <c r="I16" s="11">
        <v>40800000</v>
      </c>
      <c r="J16" s="11">
        <v>0</v>
      </c>
    </row>
    <row r="17" spans="1:10" x14ac:dyDescent="0.3">
      <c r="A17" s="10">
        <v>46020</v>
      </c>
      <c r="B17" t="s">
        <v>19</v>
      </c>
      <c r="C17" t="s">
        <v>25</v>
      </c>
      <c r="D17" t="str">
        <f t="shared" si="0"/>
        <v>34285617817</v>
      </c>
      <c r="E17" t="str">
        <f t="shared" si="1"/>
        <v>Client17</v>
      </c>
      <c r="F17" t="str">
        <f t="shared" si="2"/>
        <v>BOB17</v>
      </c>
      <c r="G17" t="s">
        <v>26</v>
      </c>
      <c r="H17" t="s">
        <v>27</v>
      </c>
      <c r="I17" s="11">
        <v>40400000</v>
      </c>
      <c r="J17" s="11">
        <v>25501500</v>
      </c>
    </row>
    <row r="18" spans="1:10" x14ac:dyDescent="0.3">
      <c r="A18" s="10">
        <v>46020</v>
      </c>
      <c r="B18" t="s">
        <v>19</v>
      </c>
      <c r="C18" t="s">
        <v>31</v>
      </c>
      <c r="D18" t="str">
        <f t="shared" si="0"/>
        <v>34285617818</v>
      </c>
      <c r="E18" t="str">
        <f t="shared" si="1"/>
        <v>Client18</v>
      </c>
      <c r="F18" t="str">
        <f t="shared" si="2"/>
        <v>BOB18</v>
      </c>
      <c r="G18" t="s">
        <v>32</v>
      </c>
      <c r="H18" t="s">
        <v>22</v>
      </c>
      <c r="I18" s="11">
        <v>38750000</v>
      </c>
      <c r="J18" s="11">
        <v>1000000</v>
      </c>
    </row>
    <row r="19" spans="1:10" x14ac:dyDescent="0.3">
      <c r="A19" s="10">
        <v>46020</v>
      </c>
      <c r="B19" t="s">
        <v>19</v>
      </c>
      <c r="C19" t="s">
        <v>20</v>
      </c>
      <c r="D19" t="str">
        <f t="shared" si="0"/>
        <v>34285617819</v>
      </c>
      <c r="E19" t="str">
        <f t="shared" si="1"/>
        <v>Client19</v>
      </c>
      <c r="F19" t="str">
        <f t="shared" si="2"/>
        <v>BOB19</v>
      </c>
      <c r="G19" t="s">
        <v>21</v>
      </c>
      <c r="H19" t="s">
        <v>22</v>
      </c>
      <c r="I19" s="11">
        <v>36084500</v>
      </c>
      <c r="J19" s="11">
        <v>10010000</v>
      </c>
    </row>
    <row r="20" spans="1:10" x14ac:dyDescent="0.3">
      <c r="A20" s="10">
        <v>46020</v>
      </c>
      <c r="B20" t="s">
        <v>19</v>
      </c>
      <c r="C20" t="s">
        <v>20</v>
      </c>
      <c r="D20" t="str">
        <f t="shared" si="0"/>
        <v>34285617820</v>
      </c>
      <c r="E20" t="str">
        <f t="shared" si="1"/>
        <v>Client20</v>
      </c>
      <c r="F20" t="str">
        <f t="shared" si="2"/>
        <v>BOB20</v>
      </c>
      <c r="G20" t="s">
        <v>21</v>
      </c>
      <c r="H20" t="s">
        <v>22</v>
      </c>
      <c r="I20" s="11">
        <v>34627500</v>
      </c>
      <c r="J20" s="11">
        <v>0</v>
      </c>
    </row>
    <row r="21" spans="1:10" x14ac:dyDescent="0.3">
      <c r="A21" s="10">
        <v>46020</v>
      </c>
      <c r="B21" t="s">
        <v>19</v>
      </c>
      <c r="C21" t="s">
        <v>31</v>
      </c>
      <c r="D21" t="str">
        <f t="shared" si="0"/>
        <v>34285617821</v>
      </c>
      <c r="E21" t="str">
        <f t="shared" si="1"/>
        <v>Client21</v>
      </c>
      <c r="F21" t="str">
        <f t="shared" si="2"/>
        <v>BOB21</v>
      </c>
      <c r="G21" t="s">
        <v>32</v>
      </c>
      <c r="H21" t="s">
        <v>22</v>
      </c>
      <c r="I21" s="11">
        <v>33978000</v>
      </c>
      <c r="J21" s="11">
        <v>1200000</v>
      </c>
    </row>
    <row r="22" spans="1:10" x14ac:dyDescent="0.3">
      <c r="A22" s="10">
        <v>46020</v>
      </c>
      <c r="B22" t="s">
        <v>19</v>
      </c>
      <c r="C22" t="s">
        <v>25</v>
      </c>
      <c r="D22" t="str">
        <f t="shared" si="0"/>
        <v>34285617822</v>
      </c>
      <c r="E22" t="str">
        <f t="shared" si="1"/>
        <v>Client22</v>
      </c>
      <c r="F22" t="str">
        <f t="shared" si="2"/>
        <v>BOB22</v>
      </c>
      <c r="G22" t="s">
        <v>26</v>
      </c>
      <c r="H22" t="s">
        <v>27</v>
      </c>
      <c r="I22" s="11">
        <v>32500000</v>
      </c>
      <c r="J22" s="11">
        <v>59000000</v>
      </c>
    </row>
    <row r="23" spans="1:10" x14ac:dyDescent="0.3">
      <c r="A23" s="10">
        <v>46020</v>
      </c>
      <c r="B23" t="s">
        <v>19</v>
      </c>
      <c r="C23" t="s">
        <v>20</v>
      </c>
      <c r="D23" t="str">
        <f t="shared" si="0"/>
        <v>34285617823</v>
      </c>
      <c r="E23" t="str">
        <f t="shared" si="1"/>
        <v>Client23</v>
      </c>
      <c r="F23" t="str">
        <f t="shared" si="2"/>
        <v>BOB23</v>
      </c>
      <c r="G23" t="s">
        <v>21</v>
      </c>
      <c r="H23" t="s">
        <v>22</v>
      </c>
      <c r="I23" s="11">
        <v>31756000</v>
      </c>
      <c r="J23" s="11">
        <v>0</v>
      </c>
    </row>
    <row r="24" spans="1:10" x14ac:dyDescent="0.3">
      <c r="A24" s="10">
        <v>46020</v>
      </c>
      <c r="B24" t="s">
        <v>19</v>
      </c>
      <c r="C24" t="s">
        <v>38</v>
      </c>
      <c r="D24" t="str">
        <f t="shared" si="0"/>
        <v>34285617824</v>
      </c>
      <c r="E24" t="str">
        <f t="shared" si="1"/>
        <v>Client24</v>
      </c>
      <c r="F24" t="str">
        <f t="shared" si="2"/>
        <v>BOB24</v>
      </c>
      <c r="G24" t="s">
        <v>21</v>
      </c>
      <c r="H24" t="s">
        <v>22</v>
      </c>
      <c r="I24" s="11">
        <v>30677000</v>
      </c>
      <c r="J24" s="11">
        <v>0</v>
      </c>
    </row>
    <row r="25" spans="1:10" x14ac:dyDescent="0.3">
      <c r="A25" s="10">
        <v>46020</v>
      </c>
      <c r="B25" t="s">
        <v>19</v>
      </c>
      <c r="C25" t="s">
        <v>20</v>
      </c>
      <c r="D25" t="str">
        <f t="shared" si="0"/>
        <v>34285617825</v>
      </c>
      <c r="E25" t="str">
        <f t="shared" si="1"/>
        <v>Client25</v>
      </c>
      <c r="F25" t="str">
        <f t="shared" si="2"/>
        <v>BOB25</v>
      </c>
      <c r="G25" t="s">
        <v>21</v>
      </c>
      <c r="H25" t="s">
        <v>22</v>
      </c>
      <c r="I25" s="11">
        <v>29964000</v>
      </c>
      <c r="J25" s="11">
        <v>0</v>
      </c>
    </row>
    <row r="26" spans="1:10" x14ac:dyDescent="0.3">
      <c r="A26" s="10">
        <v>46020</v>
      </c>
      <c r="B26" t="s">
        <v>19</v>
      </c>
      <c r="C26" t="s">
        <v>20</v>
      </c>
      <c r="D26" t="str">
        <f t="shared" si="0"/>
        <v>34285617826</v>
      </c>
      <c r="E26" t="str">
        <f t="shared" si="1"/>
        <v>Client26</v>
      </c>
      <c r="F26" t="str">
        <f t="shared" si="2"/>
        <v>BOB26</v>
      </c>
      <c r="G26" t="s">
        <v>21</v>
      </c>
      <c r="H26" t="s">
        <v>22</v>
      </c>
      <c r="I26" s="11">
        <v>29000000</v>
      </c>
      <c r="J26" s="11">
        <v>0</v>
      </c>
    </row>
    <row r="27" spans="1:10" x14ac:dyDescent="0.3">
      <c r="A27" s="10">
        <v>46020</v>
      </c>
      <c r="B27" t="s">
        <v>19</v>
      </c>
      <c r="C27" t="s">
        <v>25</v>
      </c>
      <c r="D27" t="str">
        <f t="shared" si="0"/>
        <v>34285617827</v>
      </c>
      <c r="E27" t="str">
        <f t="shared" si="1"/>
        <v>Client27</v>
      </c>
      <c r="F27" t="str">
        <f t="shared" si="2"/>
        <v>BOB27</v>
      </c>
      <c r="G27" t="s">
        <v>26</v>
      </c>
      <c r="H27" t="s">
        <v>27</v>
      </c>
      <c r="I27" s="11">
        <v>27800000</v>
      </c>
      <c r="J27" s="11">
        <v>28500000</v>
      </c>
    </row>
    <row r="28" spans="1:10" x14ac:dyDescent="0.3">
      <c r="A28" s="10">
        <v>46020</v>
      </c>
      <c r="B28" t="s">
        <v>19</v>
      </c>
      <c r="C28" t="s">
        <v>31</v>
      </c>
      <c r="D28" t="str">
        <f t="shared" si="0"/>
        <v>34285617828</v>
      </c>
      <c r="E28" t="str">
        <f t="shared" si="1"/>
        <v>Client28</v>
      </c>
      <c r="F28" t="str">
        <f t="shared" si="2"/>
        <v>BOB28</v>
      </c>
      <c r="G28" t="s">
        <v>32</v>
      </c>
      <c r="H28" t="s">
        <v>22</v>
      </c>
      <c r="I28" s="11">
        <v>27635000</v>
      </c>
      <c r="J28" s="11">
        <v>200000</v>
      </c>
    </row>
    <row r="29" spans="1:10" x14ac:dyDescent="0.3">
      <c r="A29" s="10">
        <v>46020</v>
      </c>
      <c r="B29" t="s">
        <v>19</v>
      </c>
      <c r="C29" t="s">
        <v>41</v>
      </c>
      <c r="D29" t="str">
        <f t="shared" si="0"/>
        <v>34285617829</v>
      </c>
      <c r="E29" t="str">
        <f t="shared" si="1"/>
        <v>Client29</v>
      </c>
      <c r="F29" t="str">
        <f t="shared" si="2"/>
        <v>BOB29</v>
      </c>
      <c r="G29" t="s">
        <v>21</v>
      </c>
      <c r="H29" t="s">
        <v>22</v>
      </c>
      <c r="I29" s="11">
        <v>26215000</v>
      </c>
      <c r="J29" s="11">
        <v>0</v>
      </c>
    </row>
    <row r="30" spans="1:10" x14ac:dyDescent="0.3">
      <c r="A30" s="10">
        <v>46020</v>
      </c>
      <c r="B30" t="s">
        <v>19</v>
      </c>
      <c r="C30" t="s">
        <v>31</v>
      </c>
      <c r="D30" t="str">
        <f t="shared" si="0"/>
        <v>34285617830</v>
      </c>
      <c r="E30" t="str">
        <f t="shared" si="1"/>
        <v>Client30</v>
      </c>
      <c r="F30" t="str">
        <f t="shared" si="2"/>
        <v>BOB30</v>
      </c>
      <c r="G30" t="s">
        <v>32</v>
      </c>
      <c r="H30" t="s">
        <v>22</v>
      </c>
      <c r="I30" s="11">
        <v>24040000</v>
      </c>
      <c r="J30" s="11">
        <v>0</v>
      </c>
    </row>
    <row r="31" spans="1:10" x14ac:dyDescent="0.3">
      <c r="A31" s="10">
        <v>46020</v>
      </c>
      <c r="B31" t="s">
        <v>19</v>
      </c>
      <c r="C31" t="s">
        <v>20</v>
      </c>
      <c r="D31" t="str">
        <f t="shared" si="0"/>
        <v>34285617831</v>
      </c>
      <c r="E31" t="str">
        <f t="shared" si="1"/>
        <v>Client31</v>
      </c>
      <c r="F31" t="str">
        <f t="shared" si="2"/>
        <v>BOB31</v>
      </c>
      <c r="G31" t="s">
        <v>21</v>
      </c>
      <c r="H31" t="s">
        <v>22</v>
      </c>
      <c r="I31" s="11">
        <v>23326800</v>
      </c>
      <c r="J31" s="11">
        <v>0</v>
      </c>
    </row>
    <row r="32" spans="1:10" x14ac:dyDescent="0.3">
      <c r="A32" s="10">
        <v>46020</v>
      </c>
      <c r="B32" t="s">
        <v>19</v>
      </c>
      <c r="C32" t="s">
        <v>34</v>
      </c>
      <c r="D32" t="str">
        <f t="shared" si="0"/>
        <v>34285617832</v>
      </c>
      <c r="E32" t="str">
        <f t="shared" si="1"/>
        <v>Client32</v>
      </c>
      <c r="F32" t="str">
        <f t="shared" si="2"/>
        <v>BOB32</v>
      </c>
      <c r="G32" t="s">
        <v>32</v>
      </c>
      <c r="H32" t="s">
        <v>22</v>
      </c>
      <c r="I32" s="11">
        <v>21452000</v>
      </c>
      <c r="J32" s="11">
        <v>1896000</v>
      </c>
    </row>
    <row r="33" spans="1:10" x14ac:dyDescent="0.3">
      <c r="A33" s="10">
        <v>46020</v>
      </c>
      <c r="B33" t="s">
        <v>19</v>
      </c>
      <c r="C33" t="s">
        <v>23</v>
      </c>
      <c r="D33" t="str">
        <f t="shared" si="0"/>
        <v>34285617833</v>
      </c>
      <c r="E33" t="str">
        <f t="shared" si="1"/>
        <v>Client33</v>
      </c>
      <c r="F33" t="str">
        <f t="shared" si="2"/>
        <v>BOB33</v>
      </c>
      <c r="G33" t="s">
        <v>24</v>
      </c>
      <c r="H33" t="s">
        <v>22</v>
      </c>
      <c r="I33" s="11">
        <v>20309600</v>
      </c>
      <c r="J33" s="11">
        <v>144142100</v>
      </c>
    </row>
    <row r="34" spans="1:10" x14ac:dyDescent="0.3">
      <c r="A34" s="10">
        <v>46020</v>
      </c>
      <c r="B34" t="s">
        <v>19</v>
      </c>
      <c r="C34" t="s">
        <v>36</v>
      </c>
      <c r="D34" t="str">
        <f t="shared" si="0"/>
        <v>34285617834</v>
      </c>
      <c r="E34" t="str">
        <f t="shared" si="1"/>
        <v>Client34</v>
      </c>
      <c r="F34" t="str">
        <f t="shared" si="2"/>
        <v>BOB34</v>
      </c>
      <c r="G34" t="s">
        <v>21</v>
      </c>
      <c r="H34" t="s">
        <v>22</v>
      </c>
      <c r="I34" s="11">
        <v>19000000</v>
      </c>
      <c r="J34" s="11">
        <v>0</v>
      </c>
    </row>
    <row r="35" spans="1:10" x14ac:dyDescent="0.3">
      <c r="A35" s="10">
        <v>46020</v>
      </c>
      <c r="B35" t="s">
        <v>19</v>
      </c>
      <c r="C35" t="s">
        <v>36</v>
      </c>
      <c r="D35" t="str">
        <f t="shared" si="0"/>
        <v>34285617835</v>
      </c>
      <c r="E35" t="str">
        <f t="shared" si="1"/>
        <v>Client35</v>
      </c>
      <c r="F35" t="str">
        <f t="shared" si="2"/>
        <v>BOB35</v>
      </c>
      <c r="G35" t="s">
        <v>21</v>
      </c>
      <c r="H35" t="s">
        <v>22</v>
      </c>
      <c r="I35" s="11">
        <v>19000000</v>
      </c>
      <c r="J35" s="11">
        <v>16500000</v>
      </c>
    </row>
    <row r="36" spans="1:10" x14ac:dyDescent="0.3">
      <c r="A36" s="10">
        <v>46020</v>
      </c>
      <c r="B36" t="s">
        <v>19</v>
      </c>
      <c r="C36" t="s">
        <v>31</v>
      </c>
      <c r="D36" t="str">
        <f t="shared" si="0"/>
        <v>34285617836</v>
      </c>
      <c r="E36" t="str">
        <f t="shared" si="1"/>
        <v>Client36</v>
      </c>
      <c r="F36" t="str">
        <f t="shared" si="2"/>
        <v>BOB36</v>
      </c>
      <c r="G36" t="s">
        <v>32</v>
      </c>
      <c r="H36" t="s">
        <v>22</v>
      </c>
      <c r="I36" s="11">
        <v>16632000</v>
      </c>
      <c r="J36" s="11">
        <v>5500000</v>
      </c>
    </row>
    <row r="37" spans="1:10" x14ac:dyDescent="0.3">
      <c r="A37" s="10">
        <v>46020</v>
      </c>
      <c r="B37" t="s">
        <v>19</v>
      </c>
      <c r="C37" t="s">
        <v>34</v>
      </c>
      <c r="D37" t="str">
        <f t="shared" si="0"/>
        <v>34285617837</v>
      </c>
      <c r="E37" t="str">
        <f t="shared" si="1"/>
        <v>Client37</v>
      </c>
      <c r="F37" t="str">
        <f t="shared" si="2"/>
        <v>BOB37</v>
      </c>
      <c r="G37" t="s">
        <v>32</v>
      </c>
      <c r="H37" t="s">
        <v>22</v>
      </c>
      <c r="I37" s="11">
        <v>15320000</v>
      </c>
      <c r="J37" s="11">
        <v>7553000</v>
      </c>
    </row>
    <row r="38" spans="1:10" x14ac:dyDescent="0.3">
      <c r="A38" s="10">
        <v>46020</v>
      </c>
      <c r="B38" t="s">
        <v>19</v>
      </c>
      <c r="C38" t="s">
        <v>20</v>
      </c>
      <c r="D38" t="str">
        <f t="shared" si="0"/>
        <v>34285617838</v>
      </c>
      <c r="E38" t="str">
        <f t="shared" si="1"/>
        <v>Client38</v>
      </c>
      <c r="F38" t="str">
        <f t="shared" si="2"/>
        <v>BOB38</v>
      </c>
      <c r="G38" t="s">
        <v>21</v>
      </c>
      <c r="H38" t="s">
        <v>22</v>
      </c>
      <c r="I38" s="11">
        <v>14900000</v>
      </c>
      <c r="J38" s="11">
        <v>0</v>
      </c>
    </row>
    <row r="39" spans="1:10" x14ac:dyDescent="0.3">
      <c r="A39" s="10">
        <v>46020</v>
      </c>
      <c r="B39" t="s">
        <v>19</v>
      </c>
      <c r="C39" t="s">
        <v>44</v>
      </c>
      <c r="D39" t="str">
        <f t="shared" si="0"/>
        <v>34285617839</v>
      </c>
      <c r="E39" t="str">
        <f t="shared" si="1"/>
        <v>Client39</v>
      </c>
      <c r="F39" t="str">
        <f t="shared" si="2"/>
        <v>BOB39</v>
      </c>
      <c r="G39" t="s">
        <v>21</v>
      </c>
      <c r="H39" t="s">
        <v>22</v>
      </c>
      <c r="I39" s="11">
        <v>13100000</v>
      </c>
      <c r="J39" s="11">
        <v>0</v>
      </c>
    </row>
    <row r="40" spans="1:10" x14ac:dyDescent="0.3">
      <c r="A40" s="10">
        <v>46020</v>
      </c>
      <c r="B40" t="s">
        <v>19</v>
      </c>
      <c r="C40" t="s">
        <v>43</v>
      </c>
      <c r="D40" t="str">
        <f t="shared" si="0"/>
        <v>34285617840</v>
      </c>
      <c r="E40" t="str">
        <f t="shared" si="1"/>
        <v>Client40</v>
      </c>
      <c r="F40" t="str">
        <f t="shared" si="2"/>
        <v>BOB40</v>
      </c>
      <c r="G40" t="s">
        <v>21</v>
      </c>
      <c r="H40" t="s">
        <v>22</v>
      </c>
      <c r="I40" s="11">
        <v>12710000</v>
      </c>
      <c r="J40" s="11">
        <v>0</v>
      </c>
    </row>
    <row r="41" spans="1:10" x14ac:dyDescent="0.3">
      <c r="A41" s="10">
        <v>46020</v>
      </c>
      <c r="B41" t="s">
        <v>19</v>
      </c>
      <c r="C41" t="s">
        <v>35</v>
      </c>
      <c r="D41" t="str">
        <f t="shared" si="0"/>
        <v>34285617841</v>
      </c>
      <c r="E41" t="str">
        <f t="shared" si="1"/>
        <v>Client41</v>
      </c>
      <c r="F41" t="str">
        <f t="shared" si="2"/>
        <v>BOB41</v>
      </c>
      <c r="G41" t="s">
        <v>24</v>
      </c>
      <c r="H41" t="s">
        <v>22</v>
      </c>
      <c r="I41" s="11">
        <v>12300000</v>
      </c>
      <c r="J41" s="11">
        <v>2000000</v>
      </c>
    </row>
    <row r="42" spans="1:10" x14ac:dyDescent="0.3">
      <c r="A42" s="10">
        <v>46020</v>
      </c>
      <c r="B42" t="s">
        <v>19</v>
      </c>
      <c r="C42" t="s">
        <v>20</v>
      </c>
      <c r="D42" t="str">
        <f t="shared" si="0"/>
        <v>34285617842</v>
      </c>
      <c r="E42" t="str">
        <f t="shared" si="1"/>
        <v>Client42</v>
      </c>
      <c r="F42" t="str">
        <f t="shared" si="2"/>
        <v>BOB42</v>
      </c>
      <c r="G42" t="s">
        <v>21</v>
      </c>
      <c r="H42" t="s">
        <v>22</v>
      </c>
      <c r="I42" s="11">
        <v>12000000</v>
      </c>
      <c r="J42" s="11">
        <v>0</v>
      </c>
    </row>
    <row r="43" spans="1:10" x14ac:dyDescent="0.3">
      <c r="A43" s="10">
        <v>46020</v>
      </c>
      <c r="B43" t="s">
        <v>19</v>
      </c>
      <c r="C43" t="s">
        <v>40</v>
      </c>
      <c r="D43" t="str">
        <f t="shared" si="0"/>
        <v>34285617843</v>
      </c>
      <c r="E43" t="str">
        <f t="shared" si="1"/>
        <v>Client43</v>
      </c>
      <c r="F43" t="str">
        <f t="shared" si="2"/>
        <v>BOB43</v>
      </c>
      <c r="I43" s="11">
        <v>12000000</v>
      </c>
      <c r="J43" s="11">
        <v>0</v>
      </c>
    </row>
    <row r="44" spans="1:10" x14ac:dyDescent="0.3">
      <c r="A44" s="10">
        <v>46020</v>
      </c>
      <c r="B44" t="s">
        <v>19</v>
      </c>
      <c r="C44" t="s">
        <v>31</v>
      </c>
      <c r="D44" t="str">
        <f t="shared" si="0"/>
        <v>34285617844</v>
      </c>
      <c r="E44" t="str">
        <f t="shared" si="1"/>
        <v>Client44</v>
      </c>
      <c r="F44" t="str">
        <f t="shared" si="2"/>
        <v>BOB44</v>
      </c>
      <c r="G44" t="s">
        <v>32</v>
      </c>
      <c r="H44" t="s">
        <v>22</v>
      </c>
      <c r="I44" s="11">
        <v>11400099</v>
      </c>
      <c r="J44" s="11">
        <v>13047800</v>
      </c>
    </row>
    <row r="45" spans="1:10" x14ac:dyDescent="0.3">
      <c r="A45" s="10">
        <v>46020</v>
      </c>
      <c r="B45" t="s">
        <v>19</v>
      </c>
      <c r="C45" t="s">
        <v>39</v>
      </c>
      <c r="D45" t="str">
        <f t="shared" si="0"/>
        <v>34285617845</v>
      </c>
      <c r="E45" t="str">
        <f t="shared" si="1"/>
        <v>Client45</v>
      </c>
      <c r="F45" t="str">
        <f t="shared" si="2"/>
        <v>BOB45</v>
      </c>
      <c r="G45" t="s">
        <v>32</v>
      </c>
      <c r="H45" t="s">
        <v>22</v>
      </c>
      <c r="I45" s="11">
        <v>11116600</v>
      </c>
      <c r="J45" s="11">
        <v>9569000</v>
      </c>
    </row>
    <row r="46" spans="1:10" x14ac:dyDescent="0.3">
      <c r="A46" s="10">
        <v>46020</v>
      </c>
      <c r="B46" t="s">
        <v>19</v>
      </c>
      <c r="C46" t="s">
        <v>45</v>
      </c>
      <c r="D46" t="str">
        <f t="shared" si="0"/>
        <v>34285617846</v>
      </c>
      <c r="E46" t="str">
        <f t="shared" si="1"/>
        <v>Client46</v>
      </c>
      <c r="F46" t="str">
        <f t="shared" si="2"/>
        <v>BOB46</v>
      </c>
      <c r="G46" t="s">
        <v>32</v>
      </c>
      <c r="H46" t="s">
        <v>22</v>
      </c>
      <c r="I46" s="11">
        <v>11100000</v>
      </c>
      <c r="J46" s="11">
        <v>0</v>
      </c>
    </row>
    <row r="47" spans="1:10" x14ac:dyDescent="0.3">
      <c r="A47" s="10">
        <v>46020</v>
      </c>
      <c r="B47" t="s">
        <v>19</v>
      </c>
      <c r="C47" t="s">
        <v>25</v>
      </c>
      <c r="D47" t="str">
        <f t="shared" si="0"/>
        <v>34285617847</v>
      </c>
      <c r="E47" t="str">
        <f t="shared" si="1"/>
        <v>Client47</v>
      </c>
      <c r="F47" t="str">
        <f t="shared" si="2"/>
        <v>BOB47</v>
      </c>
      <c r="G47" t="s">
        <v>26</v>
      </c>
      <c r="H47" t="s">
        <v>27</v>
      </c>
      <c r="I47" s="11">
        <v>11100000</v>
      </c>
      <c r="J47" s="11">
        <v>5000000</v>
      </c>
    </row>
    <row r="48" spans="1:10" x14ac:dyDescent="0.3">
      <c r="A48" s="10">
        <v>46020</v>
      </c>
      <c r="B48" t="s">
        <v>19</v>
      </c>
      <c r="C48" t="s">
        <v>20</v>
      </c>
      <c r="D48" t="str">
        <f t="shared" si="0"/>
        <v>34285617848</v>
      </c>
      <c r="E48" t="str">
        <f t="shared" si="1"/>
        <v>Client48</v>
      </c>
      <c r="F48" t="str">
        <f t="shared" si="2"/>
        <v>BOB48</v>
      </c>
      <c r="G48" t="s">
        <v>21</v>
      </c>
      <c r="H48" t="s">
        <v>22</v>
      </c>
      <c r="I48" s="11">
        <v>11000000</v>
      </c>
      <c r="J48" s="11">
        <v>0</v>
      </c>
    </row>
    <row r="49" spans="1:10" x14ac:dyDescent="0.3">
      <c r="A49" s="10">
        <v>46020</v>
      </c>
      <c r="B49" t="s">
        <v>19</v>
      </c>
      <c r="C49" t="s">
        <v>35</v>
      </c>
      <c r="D49" t="str">
        <f t="shared" si="0"/>
        <v>34285617849</v>
      </c>
      <c r="E49" t="str">
        <f t="shared" si="1"/>
        <v>Client49</v>
      </c>
      <c r="F49" t="str">
        <f t="shared" si="2"/>
        <v>BOB49</v>
      </c>
      <c r="G49" t="s">
        <v>24</v>
      </c>
      <c r="H49" t="s">
        <v>22</v>
      </c>
      <c r="I49" s="11">
        <v>11000000</v>
      </c>
      <c r="J49" s="11">
        <v>0</v>
      </c>
    </row>
    <row r="50" spans="1:10" x14ac:dyDescent="0.3">
      <c r="A50" s="10">
        <v>46020</v>
      </c>
      <c r="B50" t="s">
        <v>19</v>
      </c>
      <c r="C50" t="s">
        <v>46</v>
      </c>
      <c r="D50" t="str">
        <f t="shared" si="0"/>
        <v>34285617850</v>
      </c>
      <c r="E50" t="str">
        <f t="shared" si="1"/>
        <v>Client50</v>
      </c>
      <c r="F50" t="str">
        <f t="shared" si="2"/>
        <v>BOB50</v>
      </c>
      <c r="G50" t="s">
        <v>21</v>
      </c>
      <c r="H50" t="s">
        <v>22</v>
      </c>
      <c r="I50" s="11">
        <v>10400000</v>
      </c>
      <c r="J50" s="11">
        <v>0</v>
      </c>
    </row>
    <row r="51" spans="1:10" x14ac:dyDescent="0.3">
      <c r="A51" s="10">
        <v>46020</v>
      </c>
      <c r="B51" t="s">
        <v>19</v>
      </c>
      <c r="C51" t="s">
        <v>23</v>
      </c>
      <c r="D51" t="str">
        <f t="shared" si="0"/>
        <v>34285617851</v>
      </c>
      <c r="E51" t="str">
        <f t="shared" si="1"/>
        <v>Client51</v>
      </c>
      <c r="F51" t="str">
        <f t="shared" si="2"/>
        <v>BOB51</v>
      </c>
      <c r="G51" t="s">
        <v>24</v>
      </c>
      <c r="H51" t="s">
        <v>22</v>
      </c>
      <c r="I51" s="11">
        <v>10000000</v>
      </c>
      <c r="J51" s="11">
        <v>0</v>
      </c>
    </row>
    <row r="52" spans="1:10" x14ac:dyDescent="0.3">
      <c r="A52" s="10">
        <v>46020</v>
      </c>
      <c r="B52" t="s">
        <v>19</v>
      </c>
      <c r="C52" t="s">
        <v>34</v>
      </c>
      <c r="D52" t="str">
        <f t="shared" si="0"/>
        <v>34285617852</v>
      </c>
      <c r="E52" t="str">
        <f t="shared" si="1"/>
        <v>Client52</v>
      </c>
      <c r="F52" t="str">
        <f t="shared" si="2"/>
        <v>BOB52</v>
      </c>
      <c r="G52" t="s">
        <v>32</v>
      </c>
      <c r="H52" t="s">
        <v>22</v>
      </c>
      <c r="I52" s="11">
        <v>9980000</v>
      </c>
      <c r="J52" s="11">
        <v>6410000</v>
      </c>
    </row>
    <row r="53" spans="1:10" x14ac:dyDescent="0.3">
      <c r="A53" s="10">
        <v>46020</v>
      </c>
      <c r="B53" t="s">
        <v>19</v>
      </c>
      <c r="C53" t="s">
        <v>39</v>
      </c>
      <c r="D53" t="str">
        <f t="shared" si="0"/>
        <v>34285617853</v>
      </c>
      <c r="E53" t="str">
        <f t="shared" si="1"/>
        <v>Client53</v>
      </c>
      <c r="F53" t="str">
        <f t="shared" si="2"/>
        <v>BOB53</v>
      </c>
      <c r="G53" t="s">
        <v>32</v>
      </c>
      <c r="H53" t="s">
        <v>22</v>
      </c>
      <c r="I53" s="11">
        <v>9457000</v>
      </c>
      <c r="J53" s="11">
        <v>200000</v>
      </c>
    </row>
    <row r="54" spans="1:10" x14ac:dyDescent="0.3">
      <c r="A54" s="10">
        <v>46020</v>
      </c>
      <c r="B54" t="s">
        <v>19</v>
      </c>
      <c r="C54" t="s">
        <v>40</v>
      </c>
      <c r="D54" t="str">
        <f t="shared" si="0"/>
        <v>34285617854</v>
      </c>
      <c r="E54" t="str">
        <f t="shared" si="1"/>
        <v>Client54</v>
      </c>
      <c r="F54" t="str">
        <f t="shared" si="2"/>
        <v>BOB54</v>
      </c>
      <c r="I54" s="11">
        <v>9400000</v>
      </c>
      <c r="J54" s="11">
        <v>10400000</v>
      </c>
    </row>
    <row r="55" spans="1:10" x14ac:dyDescent="0.3">
      <c r="A55" s="10">
        <v>46020</v>
      </c>
      <c r="B55" t="s">
        <v>19</v>
      </c>
      <c r="C55" t="s">
        <v>28</v>
      </c>
      <c r="D55" t="str">
        <f t="shared" si="0"/>
        <v>34285617855</v>
      </c>
      <c r="E55" t="str">
        <f t="shared" si="1"/>
        <v>Client55</v>
      </c>
      <c r="F55" t="str">
        <f t="shared" si="2"/>
        <v>BOB55</v>
      </c>
      <c r="G55" t="s">
        <v>24</v>
      </c>
      <c r="H55" t="s">
        <v>22</v>
      </c>
      <c r="I55" s="11">
        <v>9000000</v>
      </c>
      <c r="J55" s="11">
        <v>1000000</v>
      </c>
    </row>
    <row r="56" spans="1:10" x14ac:dyDescent="0.3">
      <c r="A56" s="10">
        <v>46020</v>
      </c>
      <c r="B56" t="s">
        <v>19</v>
      </c>
      <c r="C56" t="s">
        <v>23</v>
      </c>
      <c r="D56" t="str">
        <f t="shared" si="0"/>
        <v>34285617856</v>
      </c>
      <c r="E56" t="str">
        <f t="shared" si="1"/>
        <v>Client56</v>
      </c>
      <c r="F56" t="str">
        <f t="shared" si="2"/>
        <v>BOB56</v>
      </c>
      <c r="G56" t="s">
        <v>24</v>
      </c>
      <c r="H56" t="s">
        <v>22</v>
      </c>
      <c r="I56" s="11">
        <v>9000000</v>
      </c>
      <c r="J56" s="11">
        <v>29632200</v>
      </c>
    </row>
    <row r="57" spans="1:10" x14ac:dyDescent="0.3">
      <c r="A57" s="10">
        <v>46020</v>
      </c>
      <c r="B57" t="s">
        <v>19</v>
      </c>
      <c r="C57" t="s">
        <v>25</v>
      </c>
      <c r="D57" t="str">
        <f t="shared" si="0"/>
        <v>34285617857</v>
      </c>
      <c r="E57" t="str">
        <f t="shared" si="1"/>
        <v>Client57</v>
      </c>
      <c r="F57" t="str">
        <f t="shared" si="2"/>
        <v>BOB57</v>
      </c>
      <c r="G57" t="s">
        <v>26</v>
      </c>
      <c r="H57" t="s">
        <v>27</v>
      </c>
      <c r="I57" s="11">
        <v>8000000</v>
      </c>
      <c r="J57" s="11">
        <v>0</v>
      </c>
    </row>
    <row r="58" spans="1:10" x14ac:dyDescent="0.3">
      <c r="A58" s="10">
        <v>46020</v>
      </c>
      <c r="B58" t="s">
        <v>19</v>
      </c>
      <c r="C58" t="s">
        <v>40</v>
      </c>
      <c r="D58" t="str">
        <f t="shared" si="0"/>
        <v>34285617858</v>
      </c>
      <c r="E58" t="str">
        <f t="shared" si="1"/>
        <v>Client58</v>
      </c>
      <c r="F58" t="str">
        <f t="shared" si="2"/>
        <v>BOB58</v>
      </c>
      <c r="I58" s="11">
        <v>8000000</v>
      </c>
      <c r="J58" s="11">
        <v>0</v>
      </c>
    </row>
    <row r="59" spans="1:10" x14ac:dyDescent="0.3">
      <c r="A59" s="10">
        <v>46020</v>
      </c>
      <c r="B59" t="s">
        <v>19</v>
      </c>
      <c r="C59" t="s">
        <v>34</v>
      </c>
      <c r="D59" t="str">
        <f t="shared" si="0"/>
        <v>34285617859</v>
      </c>
      <c r="E59" t="str">
        <f t="shared" si="1"/>
        <v>Client59</v>
      </c>
      <c r="F59" t="str">
        <f t="shared" si="2"/>
        <v>BOB59</v>
      </c>
      <c r="G59" t="s">
        <v>32</v>
      </c>
      <c r="H59" t="s">
        <v>22</v>
      </c>
      <c r="I59" s="11">
        <v>7995000</v>
      </c>
      <c r="J59" s="11">
        <v>1821000</v>
      </c>
    </row>
    <row r="60" spans="1:10" x14ac:dyDescent="0.3">
      <c r="A60" s="10">
        <v>46020</v>
      </c>
      <c r="B60" t="s">
        <v>19</v>
      </c>
      <c r="C60" t="s">
        <v>31</v>
      </c>
      <c r="D60" t="str">
        <f t="shared" si="0"/>
        <v>34285617860</v>
      </c>
      <c r="E60" t="str">
        <f t="shared" si="1"/>
        <v>Client60</v>
      </c>
      <c r="F60" t="str">
        <f t="shared" si="2"/>
        <v>BOB60</v>
      </c>
      <c r="G60" t="s">
        <v>32</v>
      </c>
      <c r="H60" t="s">
        <v>22</v>
      </c>
      <c r="I60" s="11">
        <v>7330400</v>
      </c>
      <c r="J60" s="11">
        <v>0</v>
      </c>
    </row>
    <row r="61" spans="1:10" x14ac:dyDescent="0.3">
      <c r="A61" s="10">
        <v>46020</v>
      </c>
      <c r="B61" t="s">
        <v>19</v>
      </c>
      <c r="C61" t="s">
        <v>25</v>
      </c>
      <c r="D61" t="str">
        <f t="shared" si="0"/>
        <v>34285617861</v>
      </c>
      <c r="E61" t="str">
        <f t="shared" si="1"/>
        <v>Client61</v>
      </c>
      <c r="F61" t="str">
        <f t="shared" si="2"/>
        <v>BOB61</v>
      </c>
      <c r="G61" t="s">
        <v>26</v>
      </c>
      <c r="H61" t="s">
        <v>27</v>
      </c>
      <c r="I61" s="11">
        <v>7200000</v>
      </c>
      <c r="J61" s="11">
        <v>200200</v>
      </c>
    </row>
    <row r="62" spans="1:10" x14ac:dyDescent="0.3">
      <c r="A62" s="10">
        <v>46020</v>
      </c>
      <c r="B62" t="s">
        <v>19</v>
      </c>
      <c r="C62" t="s">
        <v>42</v>
      </c>
      <c r="D62" t="str">
        <f t="shared" si="0"/>
        <v>34285617862</v>
      </c>
      <c r="E62" t="str">
        <f t="shared" si="1"/>
        <v>Client62</v>
      </c>
      <c r="F62" t="str">
        <f t="shared" si="2"/>
        <v>BOB62</v>
      </c>
      <c r="G62" t="s">
        <v>21</v>
      </c>
      <c r="H62" t="s">
        <v>22</v>
      </c>
      <c r="I62" s="11">
        <v>6500000</v>
      </c>
      <c r="J62" s="11">
        <v>0</v>
      </c>
    </row>
    <row r="63" spans="1:10" x14ac:dyDescent="0.3">
      <c r="A63" s="10">
        <v>46020</v>
      </c>
      <c r="B63" t="s">
        <v>19</v>
      </c>
      <c r="C63" t="s">
        <v>39</v>
      </c>
      <c r="D63" t="str">
        <f t="shared" si="0"/>
        <v>34285617863</v>
      </c>
      <c r="E63" t="str">
        <f t="shared" si="1"/>
        <v>Client63</v>
      </c>
      <c r="F63" t="str">
        <f t="shared" si="2"/>
        <v>BOB63</v>
      </c>
      <c r="G63" t="s">
        <v>32</v>
      </c>
      <c r="H63" t="s">
        <v>22</v>
      </c>
      <c r="I63" s="11">
        <v>6167000</v>
      </c>
      <c r="J63" s="11">
        <v>13833600</v>
      </c>
    </row>
    <row r="64" spans="1:10" x14ac:dyDescent="0.3">
      <c r="A64" s="10">
        <v>46020</v>
      </c>
      <c r="B64" t="s">
        <v>19</v>
      </c>
      <c r="C64" t="s">
        <v>25</v>
      </c>
      <c r="D64" t="str">
        <f t="shared" si="0"/>
        <v>34285617864</v>
      </c>
      <c r="E64" t="str">
        <f t="shared" si="1"/>
        <v>Client64</v>
      </c>
      <c r="F64" t="str">
        <f t="shared" si="2"/>
        <v>BOB64</v>
      </c>
      <c r="G64" t="s">
        <v>26</v>
      </c>
      <c r="H64" t="s">
        <v>27</v>
      </c>
      <c r="I64" s="11">
        <v>6100000</v>
      </c>
      <c r="J64" s="11">
        <v>7500000</v>
      </c>
    </row>
    <row r="65" spans="1:10" x14ac:dyDescent="0.3">
      <c r="A65" s="10">
        <v>46020</v>
      </c>
      <c r="B65" t="s">
        <v>19</v>
      </c>
      <c r="C65" t="s">
        <v>40</v>
      </c>
      <c r="D65" t="str">
        <f t="shared" si="0"/>
        <v>34285617865</v>
      </c>
      <c r="E65" t="str">
        <f t="shared" si="1"/>
        <v>Client65</v>
      </c>
      <c r="F65" t="str">
        <f t="shared" si="2"/>
        <v>BOB65</v>
      </c>
      <c r="I65" s="11">
        <v>6000000</v>
      </c>
      <c r="J65" s="11">
        <v>0</v>
      </c>
    </row>
    <row r="66" spans="1:10" x14ac:dyDescent="0.3">
      <c r="A66" s="10">
        <v>46020</v>
      </c>
      <c r="B66" t="s">
        <v>19</v>
      </c>
      <c r="C66" t="s">
        <v>25</v>
      </c>
      <c r="D66" t="str">
        <f t="shared" ref="D66:D129" si="3" xml:space="preserve"> "342856178" &amp; ROW()</f>
        <v>34285617866</v>
      </c>
      <c r="E66" t="str">
        <f t="shared" si="1"/>
        <v>Client66</v>
      </c>
      <c r="F66" t="str">
        <f t="shared" si="2"/>
        <v>BOB66</v>
      </c>
      <c r="G66" t="s">
        <v>26</v>
      </c>
      <c r="H66" t="s">
        <v>27</v>
      </c>
      <c r="I66" s="11">
        <v>5994000</v>
      </c>
      <c r="J66" s="11">
        <v>0</v>
      </c>
    </row>
    <row r="67" spans="1:10" x14ac:dyDescent="0.3">
      <c r="A67" s="10">
        <v>46020</v>
      </c>
      <c r="B67" t="s">
        <v>19</v>
      </c>
      <c r="C67" t="s">
        <v>39</v>
      </c>
      <c r="D67" t="str">
        <f t="shared" si="3"/>
        <v>34285617867</v>
      </c>
      <c r="E67" t="str">
        <f t="shared" ref="E67:E130" si="4">"Client"  &amp; ROW()</f>
        <v>Client67</v>
      </c>
      <c r="F67" t="str">
        <f t="shared" ref="F67:F130" si="5">"BOB"&amp;ROW()</f>
        <v>BOB67</v>
      </c>
      <c r="G67" t="s">
        <v>32</v>
      </c>
      <c r="H67" t="s">
        <v>22</v>
      </c>
      <c r="I67" s="11">
        <v>5740000</v>
      </c>
      <c r="J67" s="11">
        <v>9120000</v>
      </c>
    </row>
    <row r="68" spans="1:10" x14ac:dyDescent="0.3">
      <c r="A68" s="10">
        <v>46020</v>
      </c>
      <c r="B68" t="s">
        <v>19</v>
      </c>
      <c r="C68" t="s">
        <v>31</v>
      </c>
      <c r="D68" t="str">
        <f t="shared" si="3"/>
        <v>34285617868</v>
      </c>
      <c r="E68" t="str">
        <f t="shared" si="4"/>
        <v>Client68</v>
      </c>
      <c r="F68" t="str">
        <f t="shared" si="5"/>
        <v>BOB68</v>
      </c>
      <c r="G68" t="s">
        <v>32</v>
      </c>
      <c r="H68" t="s">
        <v>22</v>
      </c>
      <c r="I68" s="11">
        <v>5508200</v>
      </c>
      <c r="J68" s="11">
        <v>4001500</v>
      </c>
    </row>
    <row r="69" spans="1:10" x14ac:dyDescent="0.3">
      <c r="A69" s="10">
        <v>46020</v>
      </c>
      <c r="B69" t="s">
        <v>19</v>
      </c>
      <c r="C69" t="s">
        <v>23</v>
      </c>
      <c r="D69" t="str">
        <f t="shared" si="3"/>
        <v>34285617869</v>
      </c>
      <c r="E69" t="str">
        <f t="shared" si="4"/>
        <v>Client69</v>
      </c>
      <c r="F69" t="str">
        <f t="shared" si="5"/>
        <v>BOB69</v>
      </c>
      <c r="G69" t="s">
        <v>24</v>
      </c>
      <c r="H69" t="s">
        <v>22</v>
      </c>
      <c r="I69" s="11">
        <v>5500000</v>
      </c>
      <c r="J69" s="11">
        <v>25587100</v>
      </c>
    </row>
    <row r="70" spans="1:10" x14ac:dyDescent="0.3">
      <c r="A70" s="10">
        <v>46020</v>
      </c>
      <c r="B70" t="s">
        <v>19</v>
      </c>
      <c r="C70" t="s">
        <v>36</v>
      </c>
      <c r="D70" t="str">
        <f t="shared" si="3"/>
        <v>34285617870</v>
      </c>
      <c r="E70" t="str">
        <f t="shared" si="4"/>
        <v>Client70</v>
      </c>
      <c r="F70" t="str">
        <f t="shared" si="5"/>
        <v>BOB70</v>
      </c>
      <c r="G70" t="s">
        <v>21</v>
      </c>
      <c r="H70" t="s">
        <v>22</v>
      </c>
      <c r="I70" s="11">
        <v>5500000</v>
      </c>
      <c r="J70" s="11">
        <v>0</v>
      </c>
    </row>
    <row r="71" spans="1:10" x14ac:dyDescent="0.3">
      <c r="A71" s="10">
        <v>46020</v>
      </c>
      <c r="B71" t="s">
        <v>19</v>
      </c>
      <c r="C71" t="s">
        <v>39</v>
      </c>
      <c r="D71" t="str">
        <f t="shared" si="3"/>
        <v>34285617871</v>
      </c>
      <c r="E71" t="str">
        <f t="shared" si="4"/>
        <v>Client71</v>
      </c>
      <c r="F71" t="str">
        <f t="shared" si="5"/>
        <v>BOB71</v>
      </c>
      <c r="G71" t="s">
        <v>32</v>
      </c>
      <c r="H71" t="s">
        <v>22</v>
      </c>
      <c r="I71" s="11">
        <v>5400000</v>
      </c>
      <c r="J71" s="11">
        <v>1420000</v>
      </c>
    </row>
    <row r="72" spans="1:10" x14ac:dyDescent="0.3">
      <c r="A72" s="10">
        <v>46020</v>
      </c>
      <c r="B72" t="s">
        <v>19</v>
      </c>
      <c r="C72" t="s">
        <v>33</v>
      </c>
      <c r="D72" t="str">
        <f t="shared" si="3"/>
        <v>34285617872</v>
      </c>
      <c r="E72" t="str">
        <f t="shared" si="4"/>
        <v>Client72</v>
      </c>
      <c r="F72" t="str">
        <f t="shared" si="5"/>
        <v>BOB72</v>
      </c>
      <c r="G72" t="s">
        <v>32</v>
      </c>
      <c r="H72" t="s">
        <v>22</v>
      </c>
      <c r="I72" s="11">
        <v>5000000</v>
      </c>
      <c r="J72" s="11">
        <v>0</v>
      </c>
    </row>
    <row r="73" spans="1:10" x14ac:dyDescent="0.3">
      <c r="A73" s="10">
        <v>46020</v>
      </c>
      <c r="B73" t="s">
        <v>19</v>
      </c>
      <c r="C73" t="s">
        <v>43</v>
      </c>
      <c r="D73" t="str">
        <f t="shared" si="3"/>
        <v>34285617873</v>
      </c>
      <c r="E73" t="str">
        <f t="shared" si="4"/>
        <v>Client73</v>
      </c>
      <c r="F73" t="str">
        <f t="shared" si="5"/>
        <v>BOB73</v>
      </c>
      <c r="G73" t="s">
        <v>21</v>
      </c>
      <c r="H73" t="s">
        <v>22</v>
      </c>
      <c r="I73" s="11">
        <v>5000000</v>
      </c>
      <c r="J73" s="11">
        <v>3510000</v>
      </c>
    </row>
    <row r="74" spans="1:10" x14ac:dyDescent="0.3">
      <c r="A74" s="10">
        <v>46020</v>
      </c>
      <c r="B74" t="s">
        <v>19</v>
      </c>
      <c r="C74" t="s">
        <v>39</v>
      </c>
      <c r="D74" t="str">
        <f t="shared" si="3"/>
        <v>34285617874</v>
      </c>
      <c r="E74" t="str">
        <f t="shared" si="4"/>
        <v>Client74</v>
      </c>
      <c r="F74" t="str">
        <f t="shared" si="5"/>
        <v>BOB74</v>
      </c>
      <c r="G74" t="s">
        <v>32</v>
      </c>
      <c r="H74" t="s">
        <v>22</v>
      </c>
      <c r="I74" s="11">
        <v>4810000</v>
      </c>
      <c r="J74" s="11">
        <v>0</v>
      </c>
    </row>
    <row r="75" spans="1:10" x14ac:dyDescent="0.3">
      <c r="A75" s="10">
        <v>46020</v>
      </c>
      <c r="B75" t="s">
        <v>19</v>
      </c>
      <c r="C75" t="s">
        <v>39</v>
      </c>
      <c r="D75" t="str">
        <f t="shared" si="3"/>
        <v>34285617875</v>
      </c>
      <c r="E75" t="str">
        <f t="shared" si="4"/>
        <v>Client75</v>
      </c>
      <c r="F75" t="str">
        <f t="shared" si="5"/>
        <v>BOB75</v>
      </c>
      <c r="G75" t="s">
        <v>32</v>
      </c>
      <c r="H75" t="s">
        <v>22</v>
      </c>
      <c r="I75" s="11">
        <v>4690000</v>
      </c>
      <c r="J75" s="11">
        <v>1200000</v>
      </c>
    </row>
    <row r="76" spans="1:10" x14ac:dyDescent="0.3">
      <c r="A76" s="10">
        <v>46020</v>
      </c>
      <c r="B76" t="s">
        <v>19</v>
      </c>
      <c r="C76" t="s">
        <v>39</v>
      </c>
      <c r="D76" t="str">
        <f t="shared" si="3"/>
        <v>34285617876</v>
      </c>
      <c r="E76" t="str">
        <f t="shared" si="4"/>
        <v>Client76</v>
      </c>
      <c r="F76" t="str">
        <f t="shared" si="5"/>
        <v>BOB76</v>
      </c>
      <c r="G76" t="s">
        <v>32</v>
      </c>
      <c r="H76" t="s">
        <v>22</v>
      </c>
      <c r="I76" s="11">
        <v>4690000</v>
      </c>
      <c r="J76" s="11">
        <v>1750000</v>
      </c>
    </row>
    <row r="77" spans="1:10" x14ac:dyDescent="0.3">
      <c r="A77" s="10">
        <v>46020</v>
      </c>
      <c r="B77" t="s">
        <v>19</v>
      </c>
      <c r="C77" t="s">
        <v>47</v>
      </c>
      <c r="D77" t="str">
        <f t="shared" si="3"/>
        <v>34285617877</v>
      </c>
      <c r="E77" t="str">
        <f t="shared" si="4"/>
        <v>Client77</v>
      </c>
      <c r="F77" t="str">
        <f t="shared" si="5"/>
        <v>BOB77</v>
      </c>
      <c r="I77" s="11">
        <v>4600000</v>
      </c>
      <c r="J77" s="11">
        <v>4400000</v>
      </c>
    </row>
    <row r="78" spans="1:10" x14ac:dyDescent="0.3">
      <c r="A78" s="10">
        <v>46020</v>
      </c>
      <c r="B78" t="s">
        <v>19</v>
      </c>
      <c r="C78" t="s">
        <v>31</v>
      </c>
      <c r="D78" t="str">
        <f t="shared" si="3"/>
        <v>34285617878</v>
      </c>
      <c r="E78" t="str">
        <f t="shared" si="4"/>
        <v>Client78</v>
      </c>
      <c r="F78" t="str">
        <f t="shared" si="5"/>
        <v>BOB78</v>
      </c>
      <c r="G78" t="s">
        <v>32</v>
      </c>
      <c r="H78" t="s">
        <v>22</v>
      </c>
      <c r="I78" s="11">
        <v>4500000</v>
      </c>
      <c r="J78" s="11">
        <v>9677700</v>
      </c>
    </row>
    <row r="79" spans="1:10" x14ac:dyDescent="0.3">
      <c r="A79" s="10">
        <v>46020</v>
      </c>
      <c r="B79" t="s">
        <v>19</v>
      </c>
      <c r="C79" t="s">
        <v>34</v>
      </c>
      <c r="D79" t="str">
        <f t="shared" si="3"/>
        <v>34285617879</v>
      </c>
      <c r="E79" t="str">
        <f t="shared" si="4"/>
        <v>Client79</v>
      </c>
      <c r="F79" t="str">
        <f t="shared" si="5"/>
        <v>BOB79</v>
      </c>
      <c r="G79" t="s">
        <v>32</v>
      </c>
      <c r="H79" t="s">
        <v>22</v>
      </c>
      <c r="I79" s="11">
        <v>4424000</v>
      </c>
      <c r="J79" s="11">
        <v>3481000</v>
      </c>
    </row>
    <row r="80" spans="1:10" x14ac:dyDescent="0.3">
      <c r="A80" s="10">
        <v>46020</v>
      </c>
      <c r="B80" t="s">
        <v>19</v>
      </c>
      <c r="C80" t="s">
        <v>34</v>
      </c>
      <c r="D80" t="str">
        <f t="shared" si="3"/>
        <v>34285617880</v>
      </c>
      <c r="E80" t="str">
        <f t="shared" si="4"/>
        <v>Client80</v>
      </c>
      <c r="F80" t="str">
        <f t="shared" si="5"/>
        <v>BOB80</v>
      </c>
      <c r="G80" t="s">
        <v>32</v>
      </c>
      <c r="H80" t="s">
        <v>22</v>
      </c>
      <c r="I80" s="11">
        <v>4414000</v>
      </c>
      <c r="J80" s="11">
        <v>8731000</v>
      </c>
    </row>
    <row r="81" spans="1:10" x14ac:dyDescent="0.3">
      <c r="A81" s="10">
        <v>46020</v>
      </c>
      <c r="B81" t="s">
        <v>19</v>
      </c>
      <c r="C81" t="s">
        <v>39</v>
      </c>
      <c r="D81" t="str">
        <f t="shared" si="3"/>
        <v>34285617881</v>
      </c>
      <c r="E81" t="str">
        <f t="shared" si="4"/>
        <v>Client81</v>
      </c>
      <c r="F81" t="str">
        <f t="shared" si="5"/>
        <v>BOB81</v>
      </c>
      <c r="G81" t="s">
        <v>32</v>
      </c>
      <c r="H81" t="s">
        <v>22</v>
      </c>
      <c r="I81" s="11">
        <v>4320000</v>
      </c>
      <c r="J81" s="11">
        <v>3470000</v>
      </c>
    </row>
    <row r="82" spans="1:10" x14ac:dyDescent="0.3">
      <c r="A82" s="10">
        <v>46020</v>
      </c>
      <c r="B82" t="s">
        <v>19</v>
      </c>
      <c r="C82" t="s">
        <v>34</v>
      </c>
      <c r="D82" t="str">
        <f t="shared" si="3"/>
        <v>34285617882</v>
      </c>
      <c r="E82" t="str">
        <f t="shared" si="4"/>
        <v>Client82</v>
      </c>
      <c r="F82" t="str">
        <f t="shared" si="5"/>
        <v>BOB82</v>
      </c>
      <c r="G82" t="s">
        <v>32</v>
      </c>
      <c r="H82" t="s">
        <v>22</v>
      </c>
      <c r="I82" s="11">
        <v>4000000</v>
      </c>
      <c r="J82" s="11">
        <v>500000</v>
      </c>
    </row>
    <row r="83" spans="1:10" x14ac:dyDescent="0.3">
      <c r="A83" s="10">
        <v>46020</v>
      </c>
      <c r="B83" t="s">
        <v>19</v>
      </c>
      <c r="C83" t="s">
        <v>23</v>
      </c>
      <c r="D83" t="str">
        <f t="shared" si="3"/>
        <v>34285617883</v>
      </c>
      <c r="E83" t="str">
        <f t="shared" si="4"/>
        <v>Client83</v>
      </c>
      <c r="F83" t="str">
        <f t="shared" si="5"/>
        <v>BOB83</v>
      </c>
      <c r="G83" t="s">
        <v>24</v>
      </c>
      <c r="H83" t="s">
        <v>22</v>
      </c>
      <c r="I83" s="11">
        <v>4000000</v>
      </c>
      <c r="J83" s="11">
        <v>0</v>
      </c>
    </row>
    <row r="84" spans="1:10" x14ac:dyDescent="0.3">
      <c r="A84" s="10">
        <v>46020</v>
      </c>
      <c r="B84" t="s">
        <v>19</v>
      </c>
      <c r="C84" t="s">
        <v>42</v>
      </c>
      <c r="D84" t="str">
        <f t="shared" si="3"/>
        <v>34285617884</v>
      </c>
      <c r="E84" t="str">
        <f t="shared" si="4"/>
        <v>Client84</v>
      </c>
      <c r="F84" t="str">
        <f t="shared" si="5"/>
        <v>BOB84</v>
      </c>
      <c r="G84" t="s">
        <v>21</v>
      </c>
      <c r="H84" t="s">
        <v>22</v>
      </c>
      <c r="I84" s="11">
        <v>4000000</v>
      </c>
      <c r="J84" s="11">
        <v>0</v>
      </c>
    </row>
    <row r="85" spans="1:10" x14ac:dyDescent="0.3">
      <c r="A85" s="10">
        <v>46020</v>
      </c>
      <c r="B85" t="s">
        <v>19</v>
      </c>
      <c r="C85" t="s">
        <v>25</v>
      </c>
      <c r="D85" t="str">
        <f t="shared" si="3"/>
        <v>34285617885</v>
      </c>
      <c r="E85" t="str">
        <f t="shared" si="4"/>
        <v>Client85</v>
      </c>
      <c r="F85" t="str">
        <f t="shared" si="5"/>
        <v>BOB85</v>
      </c>
      <c r="G85" t="s">
        <v>26</v>
      </c>
      <c r="H85" t="s">
        <v>27</v>
      </c>
      <c r="I85" s="11">
        <v>4000000</v>
      </c>
      <c r="J85" s="11">
        <v>2000000</v>
      </c>
    </row>
    <row r="86" spans="1:10" x14ac:dyDescent="0.3">
      <c r="A86" s="10">
        <v>46020</v>
      </c>
      <c r="B86" t="s">
        <v>19</v>
      </c>
      <c r="C86" t="s">
        <v>34</v>
      </c>
      <c r="D86" t="str">
        <f t="shared" si="3"/>
        <v>34285617886</v>
      </c>
      <c r="E86" t="str">
        <f t="shared" si="4"/>
        <v>Client86</v>
      </c>
      <c r="F86" t="str">
        <f t="shared" si="5"/>
        <v>BOB86</v>
      </c>
      <c r="G86" t="s">
        <v>32</v>
      </c>
      <c r="H86" t="s">
        <v>22</v>
      </c>
      <c r="I86" s="11">
        <v>3992000</v>
      </c>
      <c r="J86" s="11">
        <v>1613000</v>
      </c>
    </row>
    <row r="87" spans="1:10" x14ac:dyDescent="0.3">
      <c r="A87" s="10">
        <v>46020</v>
      </c>
      <c r="B87" t="s">
        <v>19</v>
      </c>
      <c r="C87" t="s">
        <v>25</v>
      </c>
      <c r="D87" t="str">
        <f t="shared" si="3"/>
        <v>34285617887</v>
      </c>
      <c r="E87" t="str">
        <f t="shared" si="4"/>
        <v>Client87</v>
      </c>
      <c r="F87" t="str">
        <f t="shared" si="5"/>
        <v>BOB87</v>
      </c>
      <c r="G87" t="s">
        <v>26</v>
      </c>
      <c r="H87" t="s">
        <v>27</v>
      </c>
      <c r="I87" s="11">
        <v>3987600</v>
      </c>
      <c r="J87" s="11">
        <v>0</v>
      </c>
    </row>
    <row r="88" spans="1:10" x14ac:dyDescent="0.3">
      <c r="A88" s="10">
        <v>46020</v>
      </c>
      <c r="B88" t="s">
        <v>19</v>
      </c>
      <c r="C88" t="s">
        <v>34</v>
      </c>
      <c r="D88" t="str">
        <f t="shared" si="3"/>
        <v>34285617888</v>
      </c>
      <c r="E88" t="str">
        <f t="shared" si="4"/>
        <v>Client88</v>
      </c>
      <c r="F88" t="str">
        <f t="shared" si="5"/>
        <v>BOB88</v>
      </c>
      <c r="G88" t="s">
        <v>32</v>
      </c>
      <c r="H88" t="s">
        <v>22</v>
      </c>
      <c r="I88" s="11">
        <v>3951000</v>
      </c>
      <c r="J88" s="11">
        <v>1920000</v>
      </c>
    </row>
    <row r="89" spans="1:10" x14ac:dyDescent="0.3">
      <c r="A89" s="10">
        <v>46020</v>
      </c>
      <c r="B89" t="s">
        <v>19</v>
      </c>
      <c r="C89" t="s">
        <v>34</v>
      </c>
      <c r="D89" t="str">
        <f t="shared" si="3"/>
        <v>34285617889</v>
      </c>
      <c r="E89" t="str">
        <f t="shared" si="4"/>
        <v>Client89</v>
      </c>
      <c r="F89" t="str">
        <f t="shared" si="5"/>
        <v>BOB89</v>
      </c>
      <c r="G89" t="s">
        <v>32</v>
      </c>
      <c r="H89" t="s">
        <v>22</v>
      </c>
      <c r="I89" s="11">
        <v>3584000</v>
      </c>
      <c r="J89" s="11">
        <v>4592000</v>
      </c>
    </row>
    <row r="90" spans="1:10" x14ac:dyDescent="0.3">
      <c r="A90" s="10">
        <v>46020</v>
      </c>
      <c r="B90" t="s">
        <v>19</v>
      </c>
      <c r="C90" t="s">
        <v>39</v>
      </c>
      <c r="D90" t="str">
        <f t="shared" si="3"/>
        <v>34285617890</v>
      </c>
      <c r="E90" t="str">
        <f t="shared" si="4"/>
        <v>Client90</v>
      </c>
      <c r="F90" t="str">
        <f t="shared" si="5"/>
        <v>BOB90</v>
      </c>
      <c r="G90" t="s">
        <v>32</v>
      </c>
      <c r="H90" t="s">
        <v>22</v>
      </c>
      <c r="I90" s="11">
        <v>3500000</v>
      </c>
      <c r="J90" s="11">
        <v>2020000</v>
      </c>
    </row>
    <row r="91" spans="1:10" x14ac:dyDescent="0.3">
      <c r="A91" s="10">
        <v>46020</v>
      </c>
      <c r="B91" t="s">
        <v>19</v>
      </c>
      <c r="C91" t="s">
        <v>39</v>
      </c>
      <c r="D91" t="str">
        <f t="shared" si="3"/>
        <v>34285617891</v>
      </c>
      <c r="E91" t="str">
        <f t="shared" si="4"/>
        <v>Client91</v>
      </c>
      <c r="F91" t="str">
        <f t="shared" si="5"/>
        <v>BOB91</v>
      </c>
      <c r="G91" t="s">
        <v>32</v>
      </c>
      <c r="H91" t="s">
        <v>22</v>
      </c>
      <c r="I91" s="11">
        <v>3161000</v>
      </c>
      <c r="J91" s="11">
        <v>5110000</v>
      </c>
    </row>
    <row r="92" spans="1:10" x14ac:dyDescent="0.3">
      <c r="A92" s="10">
        <v>46020</v>
      </c>
      <c r="B92" t="s">
        <v>19</v>
      </c>
      <c r="C92" t="s">
        <v>31</v>
      </c>
      <c r="D92" t="str">
        <f t="shared" si="3"/>
        <v>34285617892</v>
      </c>
      <c r="E92" t="str">
        <f t="shared" si="4"/>
        <v>Client92</v>
      </c>
      <c r="F92" t="str">
        <f t="shared" si="5"/>
        <v>BOB92</v>
      </c>
      <c r="G92" t="s">
        <v>32</v>
      </c>
      <c r="H92" t="s">
        <v>22</v>
      </c>
      <c r="I92" s="11">
        <v>3120700</v>
      </c>
      <c r="J92" s="11">
        <v>5642600</v>
      </c>
    </row>
    <row r="93" spans="1:10" x14ac:dyDescent="0.3">
      <c r="A93" s="10">
        <v>46020</v>
      </c>
      <c r="B93" t="s">
        <v>19</v>
      </c>
      <c r="C93" t="s">
        <v>34</v>
      </c>
      <c r="D93" t="str">
        <f t="shared" si="3"/>
        <v>34285617893</v>
      </c>
      <c r="E93" t="str">
        <f t="shared" si="4"/>
        <v>Client93</v>
      </c>
      <c r="F93" t="str">
        <f t="shared" si="5"/>
        <v>BOB93</v>
      </c>
      <c r="G93" t="s">
        <v>32</v>
      </c>
      <c r="H93" t="s">
        <v>22</v>
      </c>
      <c r="I93" s="11">
        <v>3100000</v>
      </c>
      <c r="J93" s="11">
        <v>2100000</v>
      </c>
    </row>
    <row r="94" spans="1:10" x14ac:dyDescent="0.3">
      <c r="A94" s="10">
        <v>46020</v>
      </c>
      <c r="B94" t="s">
        <v>19</v>
      </c>
      <c r="C94" t="s">
        <v>40</v>
      </c>
      <c r="D94" t="str">
        <f t="shared" si="3"/>
        <v>34285617894</v>
      </c>
      <c r="E94" t="str">
        <f t="shared" si="4"/>
        <v>Client94</v>
      </c>
      <c r="F94" t="str">
        <f t="shared" si="5"/>
        <v>BOB94</v>
      </c>
      <c r="I94" s="11">
        <v>3100000</v>
      </c>
      <c r="J94" s="11">
        <v>0</v>
      </c>
    </row>
    <row r="95" spans="1:10" x14ac:dyDescent="0.3">
      <c r="A95" s="10">
        <v>46020</v>
      </c>
      <c r="B95" t="s">
        <v>19</v>
      </c>
      <c r="C95" t="s">
        <v>34</v>
      </c>
      <c r="D95" t="str">
        <f t="shared" si="3"/>
        <v>34285617895</v>
      </c>
      <c r="E95" t="str">
        <f t="shared" si="4"/>
        <v>Client95</v>
      </c>
      <c r="F95" t="str">
        <f t="shared" si="5"/>
        <v>BOB95</v>
      </c>
      <c r="G95" t="s">
        <v>32</v>
      </c>
      <c r="H95" t="s">
        <v>22</v>
      </c>
      <c r="I95" s="11">
        <v>3070000</v>
      </c>
      <c r="J95" s="11">
        <v>2950000</v>
      </c>
    </row>
    <row r="96" spans="1:10" x14ac:dyDescent="0.3">
      <c r="A96" s="10">
        <v>46020</v>
      </c>
      <c r="B96" t="s">
        <v>19</v>
      </c>
      <c r="C96" t="s">
        <v>23</v>
      </c>
      <c r="D96" t="str">
        <f t="shared" si="3"/>
        <v>34285617896</v>
      </c>
      <c r="E96" t="str">
        <f t="shared" si="4"/>
        <v>Client96</v>
      </c>
      <c r="F96" t="str">
        <f t="shared" si="5"/>
        <v>BOB96</v>
      </c>
      <c r="G96" t="s">
        <v>24</v>
      </c>
      <c r="H96" t="s">
        <v>22</v>
      </c>
      <c r="I96" s="11">
        <v>3000000</v>
      </c>
      <c r="J96" s="11">
        <v>4800000</v>
      </c>
    </row>
    <row r="97" spans="1:10" x14ac:dyDescent="0.3">
      <c r="A97" s="10">
        <v>46020</v>
      </c>
      <c r="B97" t="s">
        <v>19</v>
      </c>
      <c r="C97" t="s">
        <v>31</v>
      </c>
      <c r="D97" t="str">
        <f t="shared" si="3"/>
        <v>34285617897</v>
      </c>
      <c r="E97" t="str">
        <f t="shared" si="4"/>
        <v>Client97</v>
      </c>
      <c r="F97" t="str">
        <f t="shared" si="5"/>
        <v>BOB97</v>
      </c>
      <c r="G97" t="s">
        <v>32</v>
      </c>
      <c r="H97" t="s">
        <v>22</v>
      </c>
      <c r="I97" s="11">
        <v>3000000</v>
      </c>
      <c r="J97" s="11">
        <v>11303700</v>
      </c>
    </row>
    <row r="98" spans="1:10" x14ac:dyDescent="0.3">
      <c r="A98" s="10">
        <v>46020</v>
      </c>
      <c r="B98" t="s">
        <v>19</v>
      </c>
      <c r="C98" t="s">
        <v>42</v>
      </c>
      <c r="D98" t="str">
        <f t="shared" si="3"/>
        <v>34285617898</v>
      </c>
      <c r="E98" t="str">
        <f t="shared" si="4"/>
        <v>Client98</v>
      </c>
      <c r="F98" t="str">
        <f t="shared" si="5"/>
        <v>BOB98</v>
      </c>
      <c r="G98" t="s">
        <v>21</v>
      </c>
      <c r="H98" t="s">
        <v>22</v>
      </c>
      <c r="I98" s="11">
        <v>3000000</v>
      </c>
      <c r="J98" s="11">
        <v>0</v>
      </c>
    </row>
    <row r="99" spans="1:10" x14ac:dyDescent="0.3">
      <c r="A99" s="10">
        <v>46020</v>
      </c>
      <c r="B99" t="s">
        <v>19</v>
      </c>
      <c r="C99" t="s">
        <v>39</v>
      </c>
      <c r="D99" t="str">
        <f t="shared" si="3"/>
        <v>34285617899</v>
      </c>
      <c r="E99" t="str">
        <f t="shared" si="4"/>
        <v>Client99</v>
      </c>
      <c r="F99" t="str">
        <f t="shared" si="5"/>
        <v>BOB99</v>
      </c>
      <c r="G99" t="s">
        <v>32</v>
      </c>
      <c r="H99" t="s">
        <v>22</v>
      </c>
      <c r="I99" s="11">
        <v>2850000</v>
      </c>
      <c r="J99" s="11">
        <v>1890000</v>
      </c>
    </row>
    <row r="100" spans="1:10" x14ac:dyDescent="0.3">
      <c r="A100" s="10">
        <v>46020</v>
      </c>
      <c r="B100" t="s">
        <v>19</v>
      </c>
      <c r="C100" t="s">
        <v>34</v>
      </c>
      <c r="D100" t="str">
        <f t="shared" si="3"/>
        <v>342856178100</v>
      </c>
      <c r="E100" t="str">
        <f t="shared" si="4"/>
        <v>Client100</v>
      </c>
      <c r="F100" t="str">
        <f t="shared" si="5"/>
        <v>BOB100</v>
      </c>
      <c r="G100" t="s">
        <v>32</v>
      </c>
      <c r="H100" t="s">
        <v>22</v>
      </c>
      <c r="I100" s="11">
        <v>2805000</v>
      </c>
      <c r="J100" s="11">
        <v>4010000</v>
      </c>
    </row>
    <row r="101" spans="1:10" x14ac:dyDescent="0.3">
      <c r="A101" s="10">
        <v>46020</v>
      </c>
      <c r="B101" t="s">
        <v>19</v>
      </c>
      <c r="C101" t="s">
        <v>31</v>
      </c>
      <c r="D101" t="str">
        <f t="shared" si="3"/>
        <v>342856178101</v>
      </c>
      <c r="E101" t="str">
        <f t="shared" si="4"/>
        <v>Client101</v>
      </c>
      <c r="F101" t="str">
        <f t="shared" si="5"/>
        <v>BOB101</v>
      </c>
      <c r="G101" t="s">
        <v>32</v>
      </c>
      <c r="H101" t="s">
        <v>22</v>
      </c>
      <c r="I101" s="11">
        <v>2800000</v>
      </c>
      <c r="J101" s="11">
        <v>2700000</v>
      </c>
    </row>
    <row r="102" spans="1:10" x14ac:dyDescent="0.3">
      <c r="A102" s="10">
        <v>46020</v>
      </c>
      <c r="B102" t="s">
        <v>19</v>
      </c>
      <c r="C102" t="s">
        <v>33</v>
      </c>
      <c r="D102" t="str">
        <f t="shared" si="3"/>
        <v>342856178102</v>
      </c>
      <c r="E102" t="str">
        <f t="shared" si="4"/>
        <v>Client102</v>
      </c>
      <c r="F102" t="str">
        <f t="shared" si="5"/>
        <v>BOB102</v>
      </c>
      <c r="G102" t="s">
        <v>32</v>
      </c>
      <c r="H102" t="s">
        <v>22</v>
      </c>
      <c r="I102" s="11">
        <v>2700000</v>
      </c>
      <c r="J102" s="11">
        <v>0</v>
      </c>
    </row>
    <row r="103" spans="1:10" x14ac:dyDescent="0.3">
      <c r="A103" s="10">
        <v>46020</v>
      </c>
      <c r="B103" t="s">
        <v>19</v>
      </c>
      <c r="C103" t="s">
        <v>34</v>
      </c>
      <c r="D103" t="str">
        <f t="shared" si="3"/>
        <v>342856178103</v>
      </c>
      <c r="E103" t="str">
        <f t="shared" si="4"/>
        <v>Client103</v>
      </c>
      <c r="F103" t="str">
        <f t="shared" si="5"/>
        <v>BOB103</v>
      </c>
      <c r="G103" t="s">
        <v>32</v>
      </c>
      <c r="H103" t="s">
        <v>22</v>
      </c>
      <c r="I103" s="11">
        <v>2403000</v>
      </c>
      <c r="J103" s="11">
        <v>6190000</v>
      </c>
    </row>
    <row r="104" spans="1:10" x14ac:dyDescent="0.3">
      <c r="A104" s="10">
        <v>46020</v>
      </c>
      <c r="B104" t="s">
        <v>19</v>
      </c>
      <c r="C104" t="s">
        <v>23</v>
      </c>
      <c r="D104" t="str">
        <f t="shared" si="3"/>
        <v>342856178104</v>
      </c>
      <c r="E104" t="str">
        <f t="shared" si="4"/>
        <v>Client104</v>
      </c>
      <c r="F104" t="str">
        <f t="shared" si="5"/>
        <v>BOB104</v>
      </c>
      <c r="G104" t="s">
        <v>24</v>
      </c>
      <c r="H104" t="s">
        <v>22</v>
      </c>
      <c r="I104" s="11">
        <v>2400000</v>
      </c>
      <c r="J104" s="11">
        <v>32765800</v>
      </c>
    </row>
    <row r="105" spans="1:10" x14ac:dyDescent="0.3">
      <c r="A105" s="10">
        <v>46020</v>
      </c>
      <c r="B105" t="s">
        <v>19</v>
      </c>
      <c r="C105" t="s">
        <v>34</v>
      </c>
      <c r="D105" t="str">
        <f t="shared" si="3"/>
        <v>342856178105</v>
      </c>
      <c r="E105" t="str">
        <f t="shared" si="4"/>
        <v>Client105</v>
      </c>
      <c r="F105" t="str">
        <f t="shared" si="5"/>
        <v>BOB105</v>
      </c>
      <c r="G105" t="s">
        <v>32</v>
      </c>
      <c r="H105" t="s">
        <v>22</v>
      </c>
      <c r="I105" s="11">
        <v>2210000</v>
      </c>
      <c r="J105" s="11">
        <v>2020000</v>
      </c>
    </row>
    <row r="106" spans="1:10" x14ac:dyDescent="0.3">
      <c r="A106" s="10">
        <v>46020</v>
      </c>
      <c r="B106" t="s">
        <v>19</v>
      </c>
      <c r="C106" t="s">
        <v>34</v>
      </c>
      <c r="D106" t="str">
        <f t="shared" si="3"/>
        <v>342856178106</v>
      </c>
      <c r="E106" t="str">
        <f t="shared" si="4"/>
        <v>Client106</v>
      </c>
      <c r="F106" t="str">
        <f t="shared" si="5"/>
        <v>BOB106</v>
      </c>
      <c r="G106" t="s">
        <v>32</v>
      </c>
      <c r="H106" t="s">
        <v>22</v>
      </c>
      <c r="I106" s="11">
        <v>2101000</v>
      </c>
      <c r="J106" s="11">
        <v>4200000</v>
      </c>
    </row>
    <row r="107" spans="1:10" x14ac:dyDescent="0.3">
      <c r="A107" s="10">
        <v>46020</v>
      </c>
      <c r="B107" t="s">
        <v>19</v>
      </c>
      <c r="C107" t="s">
        <v>34</v>
      </c>
      <c r="D107" t="str">
        <f t="shared" si="3"/>
        <v>342856178107</v>
      </c>
      <c r="E107" t="str">
        <f t="shared" si="4"/>
        <v>Client107</v>
      </c>
      <c r="F107" t="str">
        <f t="shared" si="5"/>
        <v>BOB107</v>
      </c>
      <c r="G107" t="s">
        <v>32</v>
      </c>
      <c r="H107" t="s">
        <v>22</v>
      </c>
      <c r="I107" s="11">
        <v>2000000</v>
      </c>
      <c r="J107" s="11">
        <v>410000</v>
      </c>
    </row>
    <row r="108" spans="1:10" x14ac:dyDescent="0.3">
      <c r="A108" s="10">
        <v>46020</v>
      </c>
      <c r="B108" t="s">
        <v>19</v>
      </c>
      <c r="C108" t="s">
        <v>35</v>
      </c>
      <c r="D108" t="str">
        <f t="shared" si="3"/>
        <v>342856178108</v>
      </c>
      <c r="E108" t="str">
        <f t="shared" si="4"/>
        <v>Client108</v>
      </c>
      <c r="F108" t="str">
        <f t="shared" si="5"/>
        <v>BOB108</v>
      </c>
      <c r="G108" t="s">
        <v>24</v>
      </c>
      <c r="H108" t="s">
        <v>22</v>
      </c>
      <c r="I108" s="11">
        <v>2000000</v>
      </c>
      <c r="J108" s="11">
        <v>0</v>
      </c>
    </row>
    <row r="109" spans="1:10" x14ac:dyDescent="0.3">
      <c r="A109" s="10">
        <v>46020</v>
      </c>
      <c r="B109" t="s">
        <v>19</v>
      </c>
      <c r="C109" t="s">
        <v>33</v>
      </c>
      <c r="D109" t="str">
        <f t="shared" si="3"/>
        <v>342856178109</v>
      </c>
      <c r="E109" t="str">
        <f t="shared" si="4"/>
        <v>Client109</v>
      </c>
      <c r="F109" t="str">
        <f t="shared" si="5"/>
        <v>BOB109</v>
      </c>
      <c r="G109" t="s">
        <v>32</v>
      </c>
      <c r="H109" t="s">
        <v>22</v>
      </c>
      <c r="I109" s="11">
        <v>2000000</v>
      </c>
      <c r="J109" s="11">
        <v>0</v>
      </c>
    </row>
    <row r="110" spans="1:10" x14ac:dyDescent="0.3">
      <c r="A110" s="10">
        <v>46020</v>
      </c>
      <c r="B110" t="s">
        <v>19</v>
      </c>
      <c r="C110" t="s">
        <v>42</v>
      </c>
      <c r="D110" t="str">
        <f t="shared" si="3"/>
        <v>342856178110</v>
      </c>
      <c r="E110" t="str">
        <f t="shared" si="4"/>
        <v>Client110</v>
      </c>
      <c r="F110" t="str">
        <f t="shared" si="5"/>
        <v>BOB110</v>
      </c>
      <c r="G110" t="s">
        <v>21</v>
      </c>
      <c r="H110" t="s">
        <v>22</v>
      </c>
      <c r="I110" s="11">
        <v>2000000</v>
      </c>
      <c r="J110" s="11">
        <v>0</v>
      </c>
    </row>
    <row r="111" spans="1:10" x14ac:dyDescent="0.3">
      <c r="A111" s="10">
        <v>46020</v>
      </c>
      <c r="B111" t="s">
        <v>19</v>
      </c>
      <c r="C111" t="s">
        <v>42</v>
      </c>
      <c r="D111" t="str">
        <f t="shared" si="3"/>
        <v>342856178111</v>
      </c>
      <c r="E111" t="str">
        <f t="shared" si="4"/>
        <v>Client111</v>
      </c>
      <c r="F111" t="str">
        <f t="shared" si="5"/>
        <v>BOB111</v>
      </c>
      <c r="G111" t="s">
        <v>21</v>
      </c>
      <c r="H111" t="s">
        <v>22</v>
      </c>
      <c r="I111" s="11">
        <v>2000000</v>
      </c>
      <c r="J111" s="11">
        <v>8000000</v>
      </c>
    </row>
    <row r="112" spans="1:10" x14ac:dyDescent="0.3">
      <c r="A112" s="10">
        <v>46020</v>
      </c>
      <c r="B112" t="s">
        <v>19</v>
      </c>
      <c r="C112" t="s">
        <v>42</v>
      </c>
      <c r="D112" t="str">
        <f t="shared" si="3"/>
        <v>342856178112</v>
      </c>
      <c r="E112" t="str">
        <f t="shared" si="4"/>
        <v>Client112</v>
      </c>
      <c r="F112" t="str">
        <f t="shared" si="5"/>
        <v>BOB112</v>
      </c>
      <c r="G112" t="s">
        <v>21</v>
      </c>
      <c r="H112" t="s">
        <v>22</v>
      </c>
      <c r="I112" s="11">
        <v>2000000</v>
      </c>
      <c r="J112" s="11">
        <v>0</v>
      </c>
    </row>
    <row r="113" spans="1:10" x14ac:dyDescent="0.3">
      <c r="A113" s="10">
        <v>46020</v>
      </c>
      <c r="B113" t="s">
        <v>19</v>
      </c>
      <c r="C113" t="s">
        <v>25</v>
      </c>
      <c r="D113" t="str">
        <f t="shared" si="3"/>
        <v>342856178113</v>
      </c>
      <c r="E113" t="str">
        <f t="shared" si="4"/>
        <v>Client113</v>
      </c>
      <c r="F113" t="str">
        <f t="shared" si="5"/>
        <v>BOB113</v>
      </c>
      <c r="G113" t="s">
        <v>26</v>
      </c>
      <c r="H113" t="s">
        <v>27</v>
      </c>
      <c r="I113" s="11">
        <v>2000000</v>
      </c>
      <c r="J113" s="11">
        <v>0</v>
      </c>
    </row>
    <row r="114" spans="1:10" x14ac:dyDescent="0.3">
      <c r="A114" s="10">
        <v>46020</v>
      </c>
      <c r="B114" t="s">
        <v>19</v>
      </c>
      <c r="C114" t="s">
        <v>25</v>
      </c>
      <c r="D114" t="str">
        <f t="shared" si="3"/>
        <v>342856178114</v>
      </c>
      <c r="E114" t="str">
        <f t="shared" si="4"/>
        <v>Client114</v>
      </c>
      <c r="F114" t="str">
        <f t="shared" si="5"/>
        <v>BOB114</v>
      </c>
      <c r="G114" t="s">
        <v>26</v>
      </c>
      <c r="H114" t="s">
        <v>27</v>
      </c>
      <c r="I114" s="11">
        <v>2000000</v>
      </c>
      <c r="J114" s="11">
        <v>0</v>
      </c>
    </row>
    <row r="115" spans="1:10" x14ac:dyDescent="0.3">
      <c r="A115" s="10">
        <v>46020</v>
      </c>
      <c r="B115" t="s">
        <v>19</v>
      </c>
      <c r="C115" t="s">
        <v>25</v>
      </c>
      <c r="D115" t="str">
        <f t="shared" si="3"/>
        <v>342856178115</v>
      </c>
      <c r="E115" t="str">
        <f t="shared" si="4"/>
        <v>Client115</v>
      </c>
      <c r="F115" t="str">
        <f t="shared" si="5"/>
        <v>BOB115</v>
      </c>
      <c r="G115" t="s">
        <v>26</v>
      </c>
      <c r="H115" t="s">
        <v>27</v>
      </c>
      <c r="I115" s="11">
        <v>2000000</v>
      </c>
      <c r="J115" s="11">
        <v>5005000</v>
      </c>
    </row>
    <row r="116" spans="1:10" x14ac:dyDescent="0.3">
      <c r="A116" s="10">
        <v>46020</v>
      </c>
      <c r="B116" t="s">
        <v>19</v>
      </c>
      <c r="C116" t="s">
        <v>40</v>
      </c>
      <c r="D116" t="str">
        <f t="shared" si="3"/>
        <v>342856178116</v>
      </c>
      <c r="E116" t="str">
        <f t="shared" si="4"/>
        <v>Client116</v>
      </c>
      <c r="F116" t="str">
        <f t="shared" si="5"/>
        <v>BOB116</v>
      </c>
      <c r="I116" s="11">
        <v>2000000</v>
      </c>
      <c r="J116" s="11">
        <v>0</v>
      </c>
    </row>
    <row r="117" spans="1:10" x14ac:dyDescent="0.3">
      <c r="A117" s="10">
        <v>46020</v>
      </c>
      <c r="B117" t="s">
        <v>19</v>
      </c>
      <c r="C117" t="s">
        <v>40</v>
      </c>
      <c r="D117" t="str">
        <f t="shared" si="3"/>
        <v>342856178117</v>
      </c>
      <c r="E117" t="str">
        <f t="shared" si="4"/>
        <v>Client117</v>
      </c>
      <c r="F117" t="str">
        <f t="shared" si="5"/>
        <v>BOB117</v>
      </c>
      <c r="I117" s="11">
        <v>2000000</v>
      </c>
      <c r="J117" s="11">
        <v>0</v>
      </c>
    </row>
    <row r="118" spans="1:10" x14ac:dyDescent="0.3">
      <c r="A118" s="10">
        <v>46020</v>
      </c>
      <c r="B118" t="s">
        <v>19</v>
      </c>
      <c r="C118" t="s">
        <v>40</v>
      </c>
      <c r="D118" t="str">
        <f t="shared" si="3"/>
        <v>342856178118</v>
      </c>
      <c r="E118" t="str">
        <f t="shared" si="4"/>
        <v>Client118</v>
      </c>
      <c r="F118" t="str">
        <f t="shared" si="5"/>
        <v>BOB118</v>
      </c>
      <c r="I118" s="11">
        <v>2000000</v>
      </c>
      <c r="J118" s="11">
        <v>0</v>
      </c>
    </row>
    <row r="119" spans="1:10" x14ac:dyDescent="0.3">
      <c r="A119" s="10">
        <v>46020</v>
      </c>
      <c r="B119" t="s">
        <v>19</v>
      </c>
      <c r="C119" t="s">
        <v>39</v>
      </c>
      <c r="D119" t="str">
        <f t="shared" si="3"/>
        <v>342856178119</v>
      </c>
      <c r="E119" t="str">
        <f t="shared" si="4"/>
        <v>Client119</v>
      </c>
      <c r="F119" t="str">
        <f t="shared" si="5"/>
        <v>BOB119</v>
      </c>
      <c r="G119" t="s">
        <v>32</v>
      </c>
      <c r="H119" t="s">
        <v>22</v>
      </c>
      <c r="I119" s="11">
        <v>1780000</v>
      </c>
      <c r="J119" s="11">
        <v>1540000</v>
      </c>
    </row>
    <row r="120" spans="1:10" x14ac:dyDescent="0.3">
      <c r="A120" s="10">
        <v>46020</v>
      </c>
      <c r="B120" t="s">
        <v>19</v>
      </c>
      <c r="C120" t="s">
        <v>34</v>
      </c>
      <c r="D120" t="str">
        <f t="shared" si="3"/>
        <v>342856178120</v>
      </c>
      <c r="E120" t="str">
        <f t="shared" si="4"/>
        <v>Client120</v>
      </c>
      <c r="F120" t="str">
        <f t="shared" si="5"/>
        <v>BOB120</v>
      </c>
      <c r="G120" t="s">
        <v>32</v>
      </c>
      <c r="H120" t="s">
        <v>22</v>
      </c>
      <c r="I120" s="11">
        <v>1773000</v>
      </c>
      <c r="J120" s="11">
        <v>1392000</v>
      </c>
    </row>
    <row r="121" spans="1:10" x14ac:dyDescent="0.3">
      <c r="A121" s="10">
        <v>46020</v>
      </c>
      <c r="B121" t="s">
        <v>19</v>
      </c>
      <c r="C121" t="s">
        <v>34</v>
      </c>
      <c r="D121" t="str">
        <f t="shared" si="3"/>
        <v>342856178121</v>
      </c>
      <c r="E121" t="str">
        <f t="shared" si="4"/>
        <v>Client121</v>
      </c>
      <c r="F121" t="str">
        <f t="shared" si="5"/>
        <v>BOB121</v>
      </c>
      <c r="G121" t="s">
        <v>32</v>
      </c>
      <c r="H121" t="s">
        <v>22</v>
      </c>
      <c r="I121" s="11">
        <v>1751000</v>
      </c>
      <c r="J121" s="11">
        <v>3835000</v>
      </c>
    </row>
    <row r="122" spans="1:10" x14ac:dyDescent="0.3">
      <c r="A122" s="10">
        <v>46020</v>
      </c>
      <c r="B122" t="s">
        <v>19</v>
      </c>
      <c r="C122" t="s">
        <v>47</v>
      </c>
      <c r="D122" t="str">
        <f t="shared" si="3"/>
        <v>342856178122</v>
      </c>
      <c r="E122" t="str">
        <f t="shared" si="4"/>
        <v>Client122</v>
      </c>
      <c r="F122" t="str">
        <f t="shared" si="5"/>
        <v>BOB122</v>
      </c>
      <c r="I122" s="11">
        <v>1700000</v>
      </c>
      <c r="J122" s="11">
        <v>0</v>
      </c>
    </row>
    <row r="123" spans="1:10" x14ac:dyDescent="0.3">
      <c r="A123" s="10">
        <v>46020</v>
      </c>
      <c r="B123" t="s">
        <v>19</v>
      </c>
      <c r="C123" t="s">
        <v>40</v>
      </c>
      <c r="D123" t="str">
        <f t="shared" si="3"/>
        <v>342856178123</v>
      </c>
      <c r="E123" t="str">
        <f t="shared" si="4"/>
        <v>Client123</v>
      </c>
      <c r="F123" t="str">
        <f t="shared" si="5"/>
        <v>BOB123</v>
      </c>
      <c r="I123" s="11">
        <v>1700000</v>
      </c>
      <c r="J123" s="11">
        <v>0</v>
      </c>
    </row>
    <row r="124" spans="1:10" x14ac:dyDescent="0.3">
      <c r="A124" s="10">
        <v>46020</v>
      </c>
      <c r="B124" t="s">
        <v>19</v>
      </c>
      <c r="C124" t="s">
        <v>31</v>
      </c>
      <c r="D124" t="str">
        <f t="shared" si="3"/>
        <v>342856178124</v>
      </c>
      <c r="E124" t="str">
        <f t="shared" si="4"/>
        <v>Client124</v>
      </c>
      <c r="F124" t="str">
        <f t="shared" si="5"/>
        <v>BOB124</v>
      </c>
      <c r="G124" t="s">
        <v>32</v>
      </c>
      <c r="H124" t="s">
        <v>22</v>
      </c>
      <c r="I124" s="11">
        <v>1650000</v>
      </c>
      <c r="J124" s="11">
        <v>7798500</v>
      </c>
    </row>
    <row r="125" spans="1:10" x14ac:dyDescent="0.3">
      <c r="A125" s="10">
        <v>46020</v>
      </c>
      <c r="B125" t="s">
        <v>19</v>
      </c>
      <c r="C125" t="s">
        <v>34</v>
      </c>
      <c r="D125" t="str">
        <f t="shared" si="3"/>
        <v>342856178125</v>
      </c>
      <c r="E125" t="str">
        <f t="shared" si="4"/>
        <v>Client125</v>
      </c>
      <c r="F125" t="str">
        <f t="shared" si="5"/>
        <v>BOB125</v>
      </c>
      <c r="G125" t="s">
        <v>32</v>
      </c>
      <c r="H125" t="s">
        <v>22</v>
      </c>
      <c r="I125" s="11">
        <v>1500000</v>
      </c>
      <c r="J125" s="11">
        <v>0</v>
      </c>
    </row>
    <row r="126" spans="1:10" x14ac:dyDescent="0.3">
      <c r="A126" s="10">
        <v>46020</v>
      </c>
      <c r="B126" t="s">
        <v>19</v>
      </c>
      <c r="C126" t="s">
        <v>47</v>
      </c>
      <c r="D126" t="str">
        <f t="shared" si="3"/>
        <v>342856178126</v>
      </c>
      <c r="E126" t="str">
        <f t="shared" si="4"/>
        <v>Client126</v>
      </c>
      <c r="F126" t="str">
        <f t="shared" si="5"/>
        <v>BOB126</v>
      </c>
      <c r="I126" s="11">
        <v>1500000</v>
      </c>
      <c r="J126" s="11">
        <v>0</v>
      </c>
    </row>
    <row r="127" spans="1:10" x14ac:dyDescent="0.3">
      <c r="A127" s="10">
        <v>46020</v>
      </c>
      <c r="B127" t="s">
        <v>19</v>
      </c>
      <c r="C127" t="s">
        <v>25</v>
      </c>
      <c r="D127" t="str">
        <f t="shared" si="3"/>
        <v>342856178127</v>
      </c>
      <c r="E127" t="str">
        <f t="shared" si="4"/>
        <v>Client127</v>
      </c>
      <c r="F127" t="str">
        <f t="shared" si="5"/>
        <v>BOB127</v>
      </c>
      <c r="G127" t="s">
        <v>26</v>
      </c>
      <c r="H127" t="s">
        <v>27</v>
      </c>
      <c r="I127" s="11">
        <v>1500000</v>
      </c>
      <c r="J127" s="11">
        <v>0</v>
      </c>
    </row>
    <row r="128" spans="1:10" x14ac:dyDescent="0.3">
      <c r="A128" s="10">
        <v>46020</v>
      </c>
      <c r="B128" t="s">
        <v>19</v>
      </c>
      <c r="C128" t="s">
        <v>40</v>
      </c>
      <c r="D128" t="str">
        <f t="shared" si="3"/>
        <v>342856178128</v>
      </c>
      <c r="E128" t="str">
        <f t="shared" si="4"/>
        <v>Client128</v>
      </c>
      <c r="F128" t="str">
        <f t="shared" si="5"/>
        <v>BOB128</v>
      </c>
      <c r="I128" s="11">
        <v>1500000</v>
      </c>
      <c r="J128" s="11">
        <v>0</v>
      </c>
    </row>
    <row r="129" spans="1:10" x14ac:dyDescent="0.3">
      <c r="A129" s="10">
        <v>46020</v>
      </c>
      <c r="B129" t="s">
        <v>19</v>
      </c>
      <c r="C129" t="s">
        <v>25</v>
      </c>
      <c r="D129" t="str">
        <f t="shared" si="3"/>
        <v>342856178129</v>
      </c>
      <c r="E129" t="str">
        <f t="shared" si="4"/>
        <v>Client129</v>
      </c>
      <c r="F129" t="str">
        <f t="shared" si="5"/>
        <v>BOB129</v>
      </c>
      <c r="G129" t="s">
        <v>26</v>
      </c>
      <c r="H129" t="s">
        <v>27</v>
      </c>
      <c r="I129" s="11">
        <v>1498500</v>
      </c>
      <c r="J129" s="11">
        <v>0</v>
      </c>
    </row>
    <row r="130" spans="1:10" x14ac:dyDescent="0.3">
      <c r="A130" s="10">
        <v>46020</v>
      </c>
      <c r="B130" t="s">
        <v>19</v>
      </c>
      <c r="C130" t="s">
        <v>34</v>
      </c>
      <c r="D130" t="str">
        <f t="shared" ref="D130:D193" si="6" xml:space="preserve"> "342856178" &amp; ROW()</f>
        <v>342856178130</v>
      </c>
      <c r="E130" t="str">
        <f t="shared" si="4"/>
        <v>Client130</v>
      </c>
      <c r="F130" t="str">
        <f t="shared" si="5"/>
        <v>BOB130</v>
      </c>
      <c r="G130" t="s">
        <v>32</v>
      </c>
      <c r="H130" t="s">
        <v>22</v>
      </c>
      <c r="I130" s="11">
        <v>1464000</v>
      </c>
      <c r="J130" s="11">
        <v>2633000</v>
      </c>
    </row>
    <row r="131" spans="1:10" x14ac:dyDescent="0.3">
      <c r="A131" s="10">
        <v>46020</v>
      </c>
      <c r="B131" t="s">
        <v>19</v>
      </c>
      <c r="C131" t="s">
        <v>34</v>
      </c>
      <c r="D131" t="str">
        <f t="shared" si="6"/>
        <v>342856178131</v>
      </c>
      <c r="E131" t="str">
        <f t="shared" ref="E131:E194" si="7">"Client"  &amp; ROW()</f>
        <v>Client131</v>
      </c>
      <c r="F131" t="str">
        <f t="shared" ref="F131:F194" si="8">"BOB"&amp;ROW()</f>
        <v>BOB131</v>
      </c>
      <c r="G131" t="s">
        <v>32</v>
      </c>
      <c r="H131" t="s">
        <v>22</v>
      </c>
      <c r="I131" s="11">
        <v>1450000</v>
      </c>
      <c r="J131" s="11">
        <v>1450000</v>
      </c>
    </row>
    <row r="132" spans="1:10" x14ac:dyDescent="0.3">
      <c r="A132" s="10">
        <v>46020</v>
      </c>
      <c r="B132" t="s">
        <v>19</v>
      </c>
      <c r="C132" t="s">
        <v>49</v>
      </c>
      <c r="D132" t="str">
        <f t="shared" si="6"/>
        <v>342856178132</v>
      </c>
      <c r="E132" t="str">
        <f t="shared" si="7"/>
        <v>Client132</v>
      </c>
      <c r="F132" t="str">
        <f t="shared" si="8"/>
        <v>BOB132</v>
      </c>
      <c r="G132" t="s">
        <v>21</v>
      </c>
      <c r="H132" t="s">
        <v>22</v>
      </c>
      <c r="I132" s="11">
        <v>1420000</v>
      </c>
      <c r="J132" s="11">
        <v>0</v>
      </c>
    </row>
    <row r="133" spans="1:10" x14ac:dyDescent="0.3">
      <c r="A133" s="10">
        <v>46020</v>
      </c>
      <c r="B133" t="s">
        <v>19</v>
      </c>
      <c r="C133" t="s">
        <v>34</v>
      </c>
      <c r="D133" t="str">
        <f t="shared" si="6"/>
        <v>342856178133</v>
      </c>
      <c r="E133" t="str">
        <f t="shared" si="7"/>
        <v>Client133</v>
      </c>
      <c r="F133" t="str">
        <f t="shared" si="8"/>
        <v>BOB133</v>
      </c>
      <c r="G133" t="s">
        <v>32</v>
      </c>
      <c r="H133" t="s">
        <v>22</v>
      </c>
      <c r="I133" s="11">
        <v>1417500</v>
      </c>
      <c r="J133" s="11">
        <v>3700000</v>
      </c>
    </row>
    <row r="134" spans="1:10" x14ac:dyDescent="0.3">
      <c r="A134" s="10">
        <v>46020</v>
      </c>
      <c r="B134" t="s">
        <v>19</v>
      </c>
      <c r="C134" t="s">
        <v>25</v>
      </c>
      <c r="D134" t="str">
        <f t="shared" si="6"/>
        <v>342856178134</v>
      </c>
      <c r="E134" t="str">
        <f t="shared" si="7"/>
        <v>Client134</v>
      </c>
      <c r="F134" t="str">
        <f t="shared" si="8"/>
        <v>BOB134</v>
      </c>
      <c r="G134" t="s">
        <v>26</v>
      </c>
      <c r="H134" t="s">
        <v>27</v>
      </c>
      <c r="I134" s="11">
        <v>1400000</v>
      </c>
      <c r="J134" s="11">
        <v>1001000</v>
      </c>
    </row>
    <row r="135" spans="1:10" x14ac:dyDescent="0.3">
      <c r="A135" s="10">
        <v>46020</v>
      </c>
      <c r="B135" t="s">
        <v>19</v>
      </c>
      <c r="C135" t="s">
        <v>25</v>
      </c>
      <c r="D135" t="str">
        <f t="shared" si="6"/>
        <v>342856178135</v>
      </c>
      <c r="E135" t="str">
        <f t="shared" si="7"/>
        <v>Client135</v>
      </c>
      <c r="F135" t="str">
        <f t="shared" si="8"/>
        <v>BOB135</v>
      </c>
      <c r="G135" t="s">
        <v>26</v>
      </c>
      <c r="H135" t="s">
        <v>27</v>
      </c>
      <c r="I135" s="11">
        <v>1398600</v>
      </c>
      <c r="J135" s="11">
        <v>4704700</v>
      </c>
    </row>
    <row r="136" spans="1:10" x14ac:dyDescent="0.3">
      <c r="A136" s="10">
        <v>46020</v>
      </c>
      <c r="B136" t="s">
        <v>19</v>
      </c>
      <c r="C136" t="s">
        <v>34</v>
      </c>
      <c r="D136" t="str">
        <f t="shared" si="6"/>
        <v>342856178136</v>
      </c>
      <c r="E136" t="str">
        <f t="shared" si="7"/>
        <v>Client136</v>
      </c>
      <c r="F136" t="str">
        <f t="shared" si="8"/>
        <v>BOB136</v>
      </c>
      <c r="G136" t="s">
        <v>32</v>
      </c>
      <c r="H136" t="s">
        <v>22</v>
      </c>
      <c r="I136" s="11">
        <v>1301000</v>
      </c>
      <c r="J136" s="11">
        <v>3111000</v>
      </c>
    </row>
    <row r="137" spans="1:10" x14ac:dyDescent="0.3">
      <c r="A137" s="10">
        <v>46020</v>
      </c>
      <c r="B137" t="s">
        <v>19</v>
      </c>
      <c r="C137" t="s">
        <v>31</v>
      </c>
      <c r="D137" t="str">
        <f t="shared" si="6"/>
        <v>342856178137</v>
      </c>
      <c r="E137" t="str">
        <f t="shared" si="7"/>
        <v>Client137</v>
      </c>
      <c r="F137" t="str">
        <f t="shared" si="8"/>
        <v>BOB137</v>
      </c>
      <c r="G137" t="s">
        <v>32</v>
      </c>
      <c r="H137" t="s">
        <v>22</v>
      </c>
      <c r="I137" s="11">
        <v>1300000</v>
      </c>
      <c r="J137" s="11">
        <v>27380000</v>
      </c>
    </row>
    <row r="138" spans="1:10" x14ac:dyDescent="0.3">
      <c r="A138" s="10">
        <v>46020</v>
      </c>
      <c r="B138" t="s">
        <v>19</v>
      </c>
      <c r="C138" t="s">
        <v>34</v>
      </c>
      <c r="D138" t="str">
        <f t="shared" si="6"/>
        <v>342856178138</v>
      </c>
      <c r="E138" t="str">
        <f t="shared" si="7"/>
        <v>Client138</v>
      </c>
      <c r="F138" t="str">
        <f t="shared" si="8"/>
        <v>BOB138</v>
      </c>
      <c r="G138" t="s">
        <v>32</v>
      </c>
      <c r="H138" t="s">
        <v>22</v>
      </c>
      <c r="I138" s="11">
        <v>1250000</v>
      </c>
      <c r="J138" s="11">
        <v>2613000</v>
      </c>
    </row>
    <row r="139" spans="1:10" x14ac:dyDescent="0.3">
      <c r="A139" s="10">
        <v>46020</v>
      </c>
      <c r="B139" t="s">
        <v>19</v>
      </c>
      <c r="C139" t="s">
        <v>20</v>
      </c>
      <c r="D139" t="str">
        <f t="shared" si="6"/>
        <v>342856178139</v>
      </c>
      <c r="E139" t="str">
        <f t="shared" si="7"/>
        <v>Client139</v>
      </c>
      <c r="F139" t="str">
        <f t="shared" si="8"/>
        <v>BOB139</v>
      </c>
      <c r="G139" t="s">
        <v>21</v>
      </c>
      <c r="H139" t="s">
        <v>22</v>
      </c>
      <c r="I139" s="11">
        <v>1173000</v>
      </c>
      <c r="J139" s="11">
        <v>0</v>
      </c>
    </row>
    <row r="140" spans="1:10" x14ac:dyDescent="0.3">
      <c r="A140" s="10">
        <v>46020</v>
      </c>
      <c r="B140" t="s">
        <v>19</v>
      </c>
      <c r="C140" t="s">
        <v>31</v>
      </c>
      <c r="D140" t="str">
        <f t="shared" si="6"/>
        <v>342856178140</v>
      </c>
      <c r="E140" t="str">
        <f t="shared" si="7"/>
        <v>Client140</v>
      </c>
      <c r="F140" t="str">
        <f t="shared" si="8"/>
        <v>BOB140</v>
      </c>
      <c r="G140" t="s">
        <v>32</v>
      </c>
      <c r="H140" t="s">
        <v>22</v>
      </c>
      <c r="I140" s="11">
        <v>1106800</v>
      </c>
      <c r="J140" s="11">
        <v>1500000</v>
      </c>
    </row>
    <row r="141" spans="1:10" x14ac:dyDescent="0.3">
      <c r="A141" s="10">
        <v>46020</v>
      </c>
      <c r="B141" t="s">
        <v>19</v>
      </c>
      <c r="C141" t="s">
        <v>34</v>
      </c>
      <c r="D141" t="str">
        <f t="shared" si="6"/>
        <v>342856178141</v>
      </c>
      <c r="E141" t="str">
        <f t="shared" si="7"/>
        <v>Client141</v>
      </c>
      <c r="F141" t="str">
        <f t="shared" si="8"/>
        <v>BOB141</v>
      </c>
      <c r="G141" t="s">
        <v>32</v>
      </c>
      <c r="H141" t="s">
        <v>22</v>
      </c>
      <c r="I141" s="11">
        <v>1100000</v>
      </c>
      <c r="J141" s="11">
        <v>885000</v>
      </c>
    </row>
    <row r="142" spans="1:10" x14ac:dyDescent="0.3">
      <c r="A142" s="10">
        <v>46020</v>
      </c>
      <c r="B142" t="s">
        <v>19</v>
      </c>
      <c r="C142" t="s">
        <v>40</v>
      </c>
      <c r="D142" t="str">
        <f t="shared" si="6"/>
        <v>342856178142</v>
      </c>
      <c r="E142" t="str">
        <f t="shared" si="7"/>
        <v>Client142</v>
      </c>
      <c r="F142" t="str">
        <f t="shared" si="8"/>
        <v>BOB142</v>
      </c>
      <c r="I142" s="11">
        <v>1100000</v>
      </c>
      <c r="J142" s="11">
        <v>3100000</v>
      </c>
    </row>
    <row r="143" spans="1:10" x14ac:dyDescent="0.3">
      <c r="A143" s="10">
        <v>46020</v>
      </c>
      <c r="B143" t="s">
        <v>19</v>
      </c>
      <c r="C143" t="s">
        <v>38</v>
      </c>
      <c r="D143" t="str">
        <f t="shared" si="6"/>
        <v>342856178143</v>
      </c>
      <c r="E143" t="str">
        <f t="shared" si="7"/>
        <v>Client143</v>
      </c>
      <c r="F143" t="str">
        <f t="shared" si="8"/>
        <v>BOB143</v>
      </c>
      <c r="G143" t="s">
        <v>21</v>
      </c>
      <c r="H143" t="s">
        <v>22</v>
      </c>
      <c r="I143" s="11">
        <v>1000000</v>
      </c>
      <c r="J143" s="11">
        <v>0</v>
      </c>
    </row>
    <row r="144" spans="1:10" x14ac:dyDescent="0.3">
      <c r="A144" s="10">
        <v>46020</v>
      </c>
      <c r="B144" t="s">
        <v>19</v>
      </c>
      <c r="C144" t="s">
        <v>47</v>
      </c>
      <c r="D144" t="str">
        <f t="shared" si="6"/>
        <v>342856178144</v>
      </c>
      <c r="E144" t="str">
        <f t="shared" si="7"/>
        <v>Client144</v>
      </c>
      <c r="F144" t="str">
        <f t="shared" si="8"/>
        <v>BOB144</v>
      </c>
      <c r="I144" s="11">
        <v>1000000</v>
      </c>
      <c r="J144" s="11">
        <v>0</v>
      </c>
    </row>
    <row r="145" spans="1:10" x14ac:dyDescent="0.3">
      <c r="A145" s="10">
        <v>46020</v>
      </c>
      <c r="B145" t="s">
        <v>19</v>
      </c>
      <c r="C145" t="s">
        <v>35</v>
      </c>
      <c r="D145" t="str">
        <f t="shared" si="6"/>
        <v>342856178145</v>
      </c>
      <c r="E145" t="str">
        <f t="shared" si="7"/>
        <v>Client145</v>
      </c>
      <c r="F145" t="str">
        <f t="shared" si="8"/>
        <v>BOB145</v>
      </c>
      <c r="G145" t="s">
        <v>24</v>
      </c>
      <c r="H145" t="s">
        <v>22</v>
      </c>
      <c r="I145" s="11">
        <v>1000000</v>
      </c>
      <c r="J145" s="11">
        <v>2000000</v>
      </c>
    </row>
    <row r="146" spans="1:10" x14ac:dyDescent="0.3">
      <c r="A146" s="10">
        <v>46020</v>
      </c>
      <c r="B146" t="s">
        <v>19</v>
      </c>
      <c r="C146" t="s">
        <v>35</v>
      </c>
      <c r="D146" t="str">
        <f t="shared" si="6"/>
        <v>342856178146</v>
      </c>
      <c r="E146" t="str">
        <f t="shared" si="7"/>
        <v>Client146</v>
      </c>
      <c r="F146" t="str">
        <f t="shared" si="8"/>
        <v>BOB146</v>
      </c>
      <c r="G146" t="s">
        <v>24</v>
      </c>
      <c r="H146" t="s">
        <v>22</v>
      </c>
      <c r="I146" s="11">
        <v>1000000</v>
      </c>
      <c r="J146" s="11">
        <v>0</v>
      </c>
    </row>
    <row r="147" spans="1:10" x14ac:dyDescent="0.3">
      <c r="A147" s="10">
        <v>46020</v>
      </c>
      <c r="B147" t="s">
        <v>19</v>
      </c>
      <c r="C147" t="s">
        <v>48</v>
      </c>
      <c r="D147" t="str">
        <f t="shared" si="6"/>
        <v>342856178147</v>
      </c>
      <c r="E147" t="str">
        <f t="shared" si="7"/>
        <v>Client147</v>
      </c>
      <c r="F147" t="str">
        <f t="shared" si="8"/>
        <v>BOB147</v>
      </c>
      <c r="I147" s="11">
        <v>1000000</v>
      </c>
      <c r="J147" s="11">
        <v>1000000</v>
      </c>
    </row>
    <row r="148" spans="1:10" x14ac:dyDescent="0.3">
      <c r="A148" s="10">
        <v>46020</v>
      </c>
      <c r="B148" t="s">
        <v>19</v>
      </c>
      <c r="C148" t="s">
        <v>48</v>
      </c>
      <c r="D148" t="str">
        <f t="shared" si="6"/>
        <v>342856178148</v>
      </c>
      <c r="E148" t="str">
        <f t="shared" si="7"/>
        <v>Client148</v>
      </c>
      <c r="F148" t="str">
        <f t="shared" si="8"/>
        <v>BOB148</v>
      </c>
      <c r="I148" s="11">
        <v>1000000</v>
      </c>
      <c r="J148" s="11">
        <v>1000000</v>
      </c>
    </row>
    <row r="149" spans="1:10" x14ac:dyDescent="0.3">
      <c r="A149" s="10">
        <v>46020</v>
      </c>
      <c r="B149" t="s">
        <v>19</v>
      </c>
      <c r="C149" t="s">
        <v>29</v>
      </c>
      <c r="D149" t="str">
        <f t="shared" si="6"/>
        <v>342856178149</v>
      </c>
      <c r="E149" t="str">
        <f t="shared" si="7"/>
        <v>Client149</v>
      </c>
      <c r="F149" t="str">
        <f t="shared" si="8"/>
        <v>BOB149</v>
      </c>
      <c r="G149" t="s">
        <v>30</v>
      </c>
      <c r="H149" t="s">
        <v>22</v>
      </c>
      <c r="I149" s="11">
        <v>1000000</v>
      </c>
      <c r="J149" s="11">
        <v>0</v>
      </c>
    </row>
    <row r="150" spans="1:10" x14ac:dyDescent="0.3">
      <c r="A150" s="10">
        <v>46020</v>
      </c>
      <c r="B150" t="s">
        <v>19</v>
      </c>
      <c r="C150" t="s">
        <v>25</v>
      </c>
      <c r="D150" t="str">
        <f t="shared" si="6"/>
        <v>342856178150</v>
      </c>
      <c r="E150" t="str">
        <f t="shared" si="7"/>
        <v>Client150</v>
      </c>
      <c r="F150" t="str">
        <f t="shared" si="8"/>
        <v>BOB150</v>
      </c>
      <c r="G150" t="s">
        <v>26</v>
      </c>
      <c r="H150" t="s">
        <v>27</v>
      </c>
      <c r="I150" s="11">
        <v>1000000</v>
      </c>
      <c r="J150" s="11">
        <v>0</v>
      </c>
    </row>
    <row r="151" spans="1:10" x14ac:dyDescent="0.3">
      <c r="A151" s="10">
        <v>46020</v>
      </c>
      <c r="B151" t="s">
        <v>19</v>
      </c>
      <c r="C151" t="s">
        <v>40</v>
      </c>
      <c r="D151" t="str">
        <f t="shared" si="6"/>
        <v>342856178151</v>
      </c>
      <c r="E151" t="str">
        <f t="shared" si="7"/>
        <v>Client151</v>
      </c>
      <c r="F151" t="str">
        <f t="shared" si="8"/>
        <v>BOB151</v>
      </c>
      <c r="I151" s="11">
        <v>1000000</v>
      </c>
      <c r="J151" s="11">
        <v>0</v>
      </c>
    </row>
    <row r="152" spans="1:10" x14ac:dyDescent="0.3">
      <c r="A152" s="10">
        <v>46020</v>
      </c>
      <c r="B152" t="s">
        <v>19</v>
      </c>
      <c r="C152" t="s">
        <v>39</v>
      </c>
      <c r="D152" t="str">
        <f t="shared" si="6"/>
        <v>342856178152</v>
      </c>
      <c r="E152" t="str">
        <f t="shared" si="7"/>
        <v>Client152</v>
      </c>
      <c r="F152" t="str">
        <f t="shared" si="8"/>
        <v>BOB152</v>
      </c>
      <c r="G152" t="s">
        <v>32</v>
      </c>
      <c r="H152" t="s">
        <v>22</v>
      </c>
      <c r="I152" s="11">
        <v>970000</v>
      </c>
      <c r="J152" s="11">
        <v>2250000</v>
      </c>
    </row>
    <row r="153" spans="1:10" x14ac:dyDescent="0.3">
      <c r="A153" s="10">
        <v>46020</v>
      </c>
      <c r="B153" t="s">
        <v>19</v>
      </c>
      <c r="C153" t="s">
        <v>39</v>
      </c>
      <c r="D153" t="str">
        <f t="shared" si="6"/>
        <v>342856178153</v>
      </c>
      <c r="E153" t="str">
        <f t="shared" si="7"/>
        <v>Client153</v>
      </c>
      <c r="F153" t="str">
        <f t="shared" si="8"/>
        <v>BOB153</v>
      </c>
      <c r="G153" t="s">
        <v>32</v>
      </c>
      <c r="H153" t="s">
        <v>22</v>
      </c>
      <c r="I153" s="11">
        <v>900000</v>
      </c>
      <c r="J153" s="11">
        <v>2000000</v>
      </c>
    </row>
    <row r="154" spans="1:10" x14ac:dyDescent="0.3">
      <c r="A154" s="10">
        <v>46020</v>
      </c>
      <c r="B154" t="s">
        <v>19</v>
      </c>
      <c r="C154" t="s">
        <v>42</v>
      </c>
      <c r="D154" t="str">
        <f t="shared" si="6"/>
        <v>342856178154</v>
      </c>
      <c r="E154" t="str">
        <f t="shared" si="7"/>
        <v>Client154</v>
      </c>
      <c r="F154" t="str">
        <f t="shared" si="8"/>
        <v>BOB154</v>
      </c>
      <c r="G154" t="s">
        <v>21</v>
      </c>
      <c r="H154" t="s">
        <v>22</v>
      </c>
      <c r="I154" s="11">
        <v>900000</v>
      </c>
      <c r="J154" s="11">
        <v>0</v>
      </c>
    </row>
    <row r="155" spans="1:10" x14ac:dyDescent="0.3">
      <c r="A155" s="10">
        <v>46020</v>
      </c>
      <c r="B155" t="s">
        <v>19</v>
      </c>
      <c r="C155" t="s">
        <v>39</v>
      </c>
      <c r="D155" t="str">
        <f t="shared" si="6"/>
        <v>342856178155</v>
      </c>
      <c r="E155" t="str">
        <f t="shared" si="7"/>
        <v>Client155</v>
      </c>
      <c r="F155" t="str">
        <f t="shared" si="8"/>
        <v>BOB155</v>
      </c>
      <c r="G155" t="s">
        <v>32</v>
      </c>
      <c r="H155" t="s">
        <v>22</v>
      </c>
      <c r="I155" s="11">
        <v>895000</v>
      </c>
      <c r="J155" s="11">
        <v>5170000</v>
      </c>
    </row>
    <row r="156" spans="1:10" x14ac:dyDescent="0.3">
      <c r="A156" s="10">
        <v>46020</v>
      </c>
      <c r="B156" t="s">
        <v>19</v>
      </c>
      <c r="C156" t="s">
        <v>35</v>
      </c>
      <c r="D156" t="str">
        <f t="shared" si="6"/>
        <v>342856178156</v>
      </c>
      <c r="E156" t="str">
        <f t="shared" si="7"/>
        <v>Client156</v>
      </c>
      <c r="F156" t="str">
        <f t="shared" si="8"/>
        <v>BOB156</v>
      </c>
      <c r="G156" t="s">
        <v>24</v>
      </c>
      <c r="H156" t="s">
        <v>22</v>
      </c>
      <c r="I156" s="11">
        <v>890000</v>
      </c>
      <c r="J156" s="11">
        <v>0</v>
      </c>
    </row>
    <row r="157" spans="1:10" x14ac:dyDescent="0.3">
      <c r="A157" s="10">
        <v>46020</v>
      </c>
      <c r="B157" t="s">
        <v>19</v>
      </c>
      <c r="C157" t="s">
        <v>38</v>
      </c>
      <c r="D157" t="str">
        <f t="shared" si="6"/>
        <v>342856178157</v>
      </c>
      <c r="E157" t="str">
        <f t="shared" si="7"/>
        <v>Client157</v>
      </c>
      <c r="F157" t="str">
        <f t="shared" si="8"/>
        <v>BOB157</v>
      </c>
      <c r="G157" t="s">
        <v>21</v>
      </c>
      <c r="H157" t="s">
        <v>22</v>
      </c>
      <c r="I157" s="11">
        <v>800000</v>
      </c>
      <c r="J157" s="11">
        <v>0</v>
      </c>
    </row>
    <row r="158" spans="1:10" x14ac:dyDescent="0.3">
      <c r="A158" s="10">
        <v>46020</v>
      </c>
      <c r="B158" t="s">
        <v>19</v>
      </c>
      <c r="C158" t="s">
        <v>46</v>
      </c>
      <c r="D158" t="str">
        <f t="shared" si="6"/>
        <v>342856178158</v>
      </c>
      <c r="E158" t="str">
        <f t="shared" si="7"/>
        <v>Client158</v>
      </c>
      <c r="F158" t="str">
        <f t="shared" si="8"/>
        <v>BOB158</v>
      </c>
      <c r="G158" t="s">
        <v>21</v>
      </c>
      <c r="H158" t="s">
        <v>22</v>
      </c>
      <c r="I158" s="11">
        <v>800000</v>
      </c>
      <c r="J158" s="11">
        <v>3020000</v>
      </c>
    </row>
    <row r="159" spans="1:10" x14ac:dyDescent="0.3">
      <c r="A159" s="10">
        <v>46020</v>
      </c>
      <c r="B159" t="s">
        <v>19</v>
      </c>
      <c r="C159" t="s">
        <v>45</v>
      </c>
      <c r="D159" t="str">
        <f t="shared" si="6"/>
        <v>342856178159</v>
      </c>
      <c r="E159" t="str">
        <f t="shared" si="7"/>
        <v>Client159</v>
      </c>
      <c r="F159" t="str">
        <f t="shared" si="8"/>
        <v>BOB159</v>
      </c>
      <c r="G159" t="s">
        <v>32</v>
      </c>
      <c r="H159" t="s">
        <v>22</v>
      </c>
      <c r="I159" s="11">
        <v>800000</v>
      </c>
      <c r="J159" s="11">
        <v>5000000</v>
      </c>
    </row>
    <row r="160" spans="1:10" x14ac:dyDescent="0.3">
      <c r="A160" s="10">
        <v>46020</v>
      </c>
      <c r="B160" t="s">
        <v>19</v>
      </c>
      <c r="C160" t="s">
        <v>40</v>
      </c>
      <c r="D160" t="str">
        <f t="shared" si="6"/>
        <v>342856178160</v>
      </c>
      <c r="E160" t="str">
        <f t="shared" si="7"/>
        <v>Client160</v>
      </c>
      <c r="F160" t="str">
        <f t="shared" si="8"/>
        <v>BOB160</v>
      </c>
      <c r="I160" s="11">
        <v>800000</v>
      </c>
      <c r="J160" s="11">
        <v>0</v>
      </c>
    </row>
    <row r="161" spans="1:10" x14ac:dyDescent="0.3">
      <c r="A161" s="10">
        <v>46020</v>
      </c>
      <c r="B161" t="s">
        <v>19</v>
      </c>
      <c r="C161" t="s">
        <v>39</v>
      </c>
      <c r="D161" t="str">
        <f t="shared" si="6"/>
        <v>342856178161</v>
      </c>
      <c r="E161" t="str">
        <f t="shared" si="7"/>
        <v>Client161</v>
      </c>
      <c r="F161" t="str">
        <f t="shared" si="8"/>
        <v>BOB161</v>
      </c>
      <c r="G161" t="s">
        <v>32</v>
      </c>
      <c r="H161" t="s">
        <v>22</v>
      </c>
      <c r="I161" s="11">
        <v>721000</v>
      </c>
      <c r="J161" s="11">
        <v>2400000</v>
      </c>
    </row>
    <row r="162" spans="1:10" x14ac:dyDescent="0.3">
      <c r="A162" s="10">
        <v>46020</v>
      </c>
      <c r="B162" t="s">
        <v>19</v>
      </c>
      <c r="C162" t="s">
        <v>39</v>
      </c>
      <c r="D162" t="str">
        <f t="shared" si="6"/>
        <v>342856178162</v>
      </c>
      <c r="E162" t="str">
        <f t="shared" si="7"/>
        <v>Client162</v>
      </c>
      <c r="F162" t="str">
        <f t="shared" si="8"/>
        <v>BOB162</v>
      </c>
      <c r="G162" t="s">
        <v>32</v>
      </c>
      <c r="H162" t="s">
        <v>22</v>
      </c>
      <c r="I162" s="11">
        <v>700000</v>
      </c>
      <c r="J162" s="11">
        <v>400000</v>
      </c>
    </row>
    <row r="163" spans="1:10" x14ac:dyDescent="0.3">
      <c r="A163" s="10">
        <v>46020</v>
      </c>
      <c r="B163" t="s">
        <v>19</v>
      </c>
      <c r="C163" t="s">
        <v>34</v>
      </c>
      <c r="D163" t="str">
        <f t="shared" si="6"/>
        <v>342856178163</v>
      </c>
      <c r="E163" t="str">
        <f t="shared" si="7"/>
        <v>Client163</v>
      </c>
      <c r="F163" t="str">
        <f t="shared" si="8"/>
        <v>BOB163</v>
      </c>
      <c r="G163" t="s">
        <v>32</v>
      </c>
      <c r="H163" t="s">
        <v>22</v>
      </c>
      <c r="I163" s="11">
        <v>700000</v>
      </c>
      <c r="J163" s="11">
        <v>301000</v>
      </c>
    </row>
    <row r="164" spans="1:10" x14ac:dyDescent="0.3">
      <c r="A164" s="10">
        <v>46020</v>
      </c>
      <c r="B164" t="s">
        <v>19</v>
      </c>
      <c r="C164" t="s">
        <v>34</v>
      </c>
      <c r="D164" t="str">
        <f t="shared" si="6"/>
        <v>342856178164</v>
      </c>
      <c r="E164" t="str">
        <f t="shared" si="7"/>
        <v>Client164</v>
      </c>
      <c r="F164" t="str">
        <f t="shared" si="8"/>
        <v>BOB164</v>
      </c>
      <c r="G164" t="s">
        <v>32</v>
      </c>
      <c r="H164" t="s">
        <v>22</v>
      </c>
      <c r="I164" s="11">
        <v>700000</v>
      </c>
      <c r="J164" s="11">
        <v>1900000</v>
      </c>
    </row>
    <row r="165" spans="1:10" x14ac:dyDescent="0.3">
      <c r="A165" s="10">
        <v>46020</v>
      </c>
      <c r="B165" t="s">
        <v>19</v>
      </c>
      <c r="C165" t="s">
        <v>40</v>
      </c>
      <c r="D165" t="str">
        <f t="shared" si="6"/>
        <v>342856178165</v>
      </c>
      <c r="E165" t="str">
        <f t="shared" si="7"/>
        <v>Client165</v>
      </c>
      <c r="F165" t="str">
        <f t="shared" si="8"/>
        <v>BOB165</v>
      </c>
      <c r="I165" s="11">
        <v>700000</v>
      </c>
      <c r="J165" s="11">
        <v>0</v>
      </c>
    </row>
    <row r="166" spans="1:10" x14ac:dyDescent="0.3">
      <c r="A166" s="10">
        <v>46020</v>
      </c>
      <c r="B166" t="s">
        <v>19</v>
      </c>
      <c r="C166" t="s">
        <v>25</v>
      </c>
      <c r="D166" t="str">
        <f t="shared" si="6"/>
        <v>342856178166</v>
      </c>
      <c r="E166" t="str">
        <f t="shared" si="7"/>
        <v>Client166</v>
      </c>
      <c r="F166" t="str">
        <f t="shared" si="8"/>
        <v>BOB166</v>
      </c>
      <c r="G166" t="s">
        <v>26</v>
      </c>
      <c r="H166" t="s">
        <v>27</v>
      </c>
      <c r="I166" s="11">
        <v>699300</v>
      </c>
      <c r="J166" s="11">
        <v>3503500</v>
      </c>
    </row>
    <row r="167" spans="1:10" x14ac:dyDescent="0.3">
      <c r="A167" s="10">
        <v>46020</v>
      </c>
      <c r="B167" t="s">
        <v>19</v>
      </c>
      <c r="C167" t="s">
        <v>39</v>
      </c>
      <c r="D167" t="str">
        <f t="shared" si="6"/>
        <v>342856178167</v>
      </c>
      <c r="E167" t="str">
        <f t="shared" si="7"/>
        <v>Client167</v>
      </c>
      <c r="F167" t="str">
        <f t="shared" si="8"/>
        <v>BOB167</v>
      </c>
      <c r="G167" t="s">
        <v>32</v>
      </c>
      <c r="H167" t="s">
        <v>22</v>
      </c>
      <c r="I167" s="11">
        <v>601000</v>
      </c>
      <c r="J167" s="11">
        <v>170000</v>
      </c>
    </row>
    <row r="168" spans="1:10" x14ac:dyDescent="0.3">
      <c r="A168" s="10">
        <v>46020</v>
      </c>
      <c r="B168" t="s">
        <v>19</v>
      </c>
      <c r="C168" t="s">
        <v>36</v>
      </c>
      <c r="D168" t="str">
        <f t="shared" si="6"/>
        <v>342856178168</v>
      </c>
      <c r="E168" t="str">
        <f t="shared" si="7"/>
        <v>Client168</v>
      </c>
      <c r="F168" t="str">
        <f t="shared" si="8"/>
        <v>BOB168</v>
      </c>
      <c r="G168" t="s">
        <v>21</v>
      </c>
      <c r="H168" t="s">
        <v>22</v>
      </c>
      <c r="I168" s="11">
        <v>600000</v>
      </c>
      <c r="J168" s="11">
        <v>0</v>
      </c>
    </row>
    <row r="169" spans="1:10" x14ac:dyDescent="0.3">
      <c r="A169" s="10">
        <v>46020</v>
      </c>
      <c r="B169" t="s">
        <v>19</v>
      </c>
      <c r="C169" t="s">
        <v>35</v>
      </c>
      <c r="D169" t="str">
        <f t="shared" si="6"/>
        <v>342856178169</v>
      </c>
      <c r="E169" t="str">
        <f t="shared" si="7"/>
        <v>Client169</v>
      </c>
      <c r="F169" t="str">
        <f t="shared" si="8"/>
        <v>BOB169</v>
      </c>
      <c r="G169" t="s">
        <v>24</v>
      </c>
      <c r="H169" t="s">
        <v>22</v>
      </c>
      <c r="I169" s="11">
        <v>600000</v>
      </c>
      <c r="J169" s="11">
        <v>0</v>
      </c>
    </row>
    <row r="170" spans="1:10" x14ac:dyDescent="0.3">
      <c r="A170" s="10">
        <v>46020</v>
      </c>
      <c r="B170" t="s">
        <v>19</v>
      </c>
      <c r="C170" t="s">
        <v>35</v>
      </c>
      <c r="D170" t="str">
        <f t="shared" si="6"/>
        <v>342856178170</v>
      </c>
      <c r="E170" t="str">
        <f t="shared" si="7"/>
        <v>Client170</v>
      </c>
      <c r="F170" t="str">
        <f t="shared" si="8"/>
        <v>BOB170</v>
      </c>
      <c r="G170" t="s">
        <v>24</v>
      </c>
      <c r="H170" t="s">
        <v>22</v>
      </c>
      <c r="I170" s="11">
        <v>600000</v>
      </c>
      <c r="J170" s="11">
        <v>0</v>
      </c>
    </row>
    <row r="171" spans="1:10" x14ac:dyDescent="0.3">
      <c r="A171" s="10">
        <v>46020</v>
      </c>
      <c r="B171" t="s">
        <v>19</v>
      </c>
      <c r="C171" t="s">
        <v>39</v>
      </c>
      <c r="D171" t="str">
        <f t="shared" si="6"/>
        <v>342856178171</v>
      </c>
      <c r="E171" t="str">
        <f t="shared" si="7"/>
        <v>Client171</v>
      </c>
      <c r="F171" t="str">
        <f t="shared" si="8"/>
        <v>BOB171</v>
      </c>
      <c r="G171" t="s">
        <v>32</v>
      </c>
      <c r="H171" t="s">
        <v>22</v>
      </c>
      <c r="I171" s="11">
        <v>560000</v>
      </c>
      <c r="J171" s="11">
        <v>2200000</v>
      </c>
    </row>
    <row r="172" spans="1:10" x14ac:dyDescent="0.3">
      <c r="A172" s="10">
        <v>46020</v>
      </c>
      <c r="B172" t="s">
        <v>19</v>
      </c>
      <c r="C172" t="s">
        <v>34</v>
      </c>
      <c r="D172" t="str">
        <f t="shared" si="6"/>
        <v>342856178172</v>
      </c>
      <c r="E172" t="str">
        <f t="shared" si="7"/>
        <v>Client172</v>
      </c>
      <c r="F172" t="str">
        <f t="shared" si="8"/>
        <v>BOB172</v>
      </c>
      <c r="G172" t="s">
        <v>32</v>
      </c>
      <c r="H172" t="s">
        <v>22</v>
      </c>
      <c r="I172" s="11">
        <v>530000</v>
      </c>
      <c r="J172" s="11">
        <v>950000</v>
      </c>
    </row>
    <row r="173" spans="1:10" x14ac:dyDescent="0.3">
      <c r="A173" s="10">
        <v>46020</v>
      </c>
      <c r="B173" t="s">
        <v>19</v>
      </c>
      <c r="C173" t="s">
        <v>34</v>
      </c>
      <c r="D173" t="str">
        <f t="shared" si="6"/>
        <v>342856178173</v>
      </c>
      <c r="E173" t="str">
        <f t="shared" si="7"/>
        <v>Client173</v>
      </c>
      <c r="F173" t="str">
        <f t="shared" si="8"/>
        <v>BOB173</v>
      </c>
      <c r="G173" t="s">
        <v>32</v>
      </c>
      <c r="H173" t="s">
        <v>22</v>
      </c>
      <c r="I173" s="11">
        <v>500000</v>
      </c>
      <c r="J173" s="11">
        <v>3898500</v>
      </c>
    </row>
    <row r="174" spans="1:10" x14ac:dyDescent="0.3">
      <c r="A174" s="10">
        <v>46020</v>
      </c>
      <c r="B174" t="s">
        <v>19</v>
      </c>
      <c r="C174" t="s">
        <v>23</v>
      </c>
      <c r="D174" t="str">
        <f t="shared" si="6"/>
        <v>342856178174</v>
      </c>
      <c r="E174" t="str">
        <f t="shared" si="7"/>
        <v>Client174</v>
      </c>
      <c r="F174" t="str">
        <f t="shared" si="8"/>
        <v>BOB174</v>
      </c>
      <c r="G174" t="s">
        <v>24</v>
      </c>
      <c r="H174" t="s">
        <v>22</v>
      </c>
      <c r="I174" s="11">
        <v>500000</v>
      </c>
      <c r="J174" s="11">
        <v>21500000</v>
      </c>
    </row>
    <row r="175" spans="1:10" x14ac:dyDescent="0.3">
      <c r="A175" s="10">
        <v>46020</v>
      </c>
      <c r="B175" t="s">
        <v>19</v>
      </c>
      <c r="C175" t="s">
        <v>36</v>
      </c>
      <c r="D175" t="str">
        <f t="shared" si="6"/>
        <v>342856178175</v>
      </c>
      <c r="E175" t="str">
        <f t="shared" si="7"/>
        <v>Client175</v>
      </c>
      <c r="F175" t="str">
        <f t="shared" si="8"/>
        <v>BOB175</v>
      </c>
      <c r="G175" t="s">
        <v>21</v>
      </c>
      <c r="H175" t="s">
        <v>22</v>
      </c>
      <c r="I175" s="11">
        <v>500000</v>
      </c>
      <c r="J175" s="11">
        <v>500000</v>
      </c>
    </row>
    <row r="176" spans="1:10" x14ac:dyDescent="0.3">
      <c r="A176" s="10">
        <v>46020</v>
      </c>
      <c r="B176" t="s">
        <v>19</v>
      </c>
      <c r="C176" t="s">
        <v>35</v>
      </c>
      <c r="D176" t="str">
        <f t="shared" si="6"/>
        <v>342856178176</v>
      </c>
      <c r="E176" t="str">
        <f t="shared" si="7"/>
        <v>Client176</v>
      </c>
      <c r="F176" t="str">
        <f t="shared" si="8"/>
        <v>BOB176</v>
      </c>
      <c r="G176" t="s">
        <v>24</v>
      </c>
      <c r="H176" t="s">
        <v>22</v>
      </c>
      <c r="I176" s="11">
        <v>500000</v>
      </c>
      <c r="J176" s="11">
        <v>0</v>
      </c>
    </row>
    <row r="177" spans="1:10" x14ac:dyDescent="0.3">
      <c r="A177" s="10">
        <v>46020</v>
      </c>
      <c r="B177" t="s">
        <v>19</v>
      </c>
      <c r="C177" t="s">
        <v>31</v>
      </c>
      <c r="D177" t="str">
        <f t="shared" si="6"/>
        <v>342856178177</v>
      </c>
      <c r="E177" t="str">
        <f t="shared" si="7"/>
        <v>Client177</v>
      </c>
      <c r="F177" t="str">
        <f t="shared" si="8"/>
        <v>BOB177</v>
      </c>
      <c r="G177" t="s">
        <v>32</v>
      </c>
      <c r="H177" t="s">
        <v>22</v>
      </c>
      <c r="I177" s="11">
        <v>500000</v>
      </c>
      <c r="J177" s="11">
        <v>1500000</v>
      </c>
    </row>
    <row r="178" spans="1:10" x14ac:dyDescent="0.3">
      <c r="A178" s="10">
        <v>46020</v>
      </c>
      <c r="B178" t="s">
        <v>19</v>
      </c>
      <c r="C178" t="s">
        <v>33</v>
      </c>
      <c r="D178" t="str">
        <f t="shared" si="6"/>
        <v>342856178178</v>
      </c>
      <c r="E178" t="str">
        <f t="shared" si="7"/>
        <v>Client178</v>
      </c>
      <c r="F178" t="str">
        <f t="shared" si="8"/>
        <v>BOB178</v>
      </c>
      <c r="G178" t="s">
        <v>32</v>
      </c>
      <c r="H178" t="s">
        <v>22</v>
      </c>
      <c r="I178" s="11">
        <v>500000</v>
      </c>
      <c r="J178" s="11">
        <v>500000</v>
      </c>
    </row>
    <row r="179" spans="1:10" x14ac:dyDescent="0.3">
      <c r="A179" s="10">
        <v>46020</v>
      </c>
      <c r="B179" t="s">
        <v>19</v>
      </c>
      <c r="C179" t="s">
        <v>29</v>
      </c>
      <c r="D179" t="str">
        <f t="shared" si="6"/>
        <v>342856178179</v>
      </c>
      <c r="E179" t="str">
        <f t="shared" si="7"/>
        <v>Client179</v>
      </c>
      <c r="F179" t="str">
        <f t="shared" si="8"/>
        <v>BOB179</v>
      </c>
      <c r="G179" t="s">
        <v>30</v>
      </c>
      <c r="H179" t="s">
        <v>22</v>
      </c>
      <c r="I179" s="11">
        <v>500000</v>
      </c>
      <c r="J179" s="11">
        <v>7406000</v>
      </c>
    </row>
    <row r="180" spans="1:10" x14ac:dyDescent="0.3">
      <c r="A180" s="10">
        <v>46020</v>
      </c>
      <c r="B180" t="s">
        <v>19</v>
      </c>
      <c r="C180" t="s">
        <v>25</v>
      </c>
      <c r="D180" t="str">
        <f t="shared" si="6"/>
        <v>342856178180</v>
      </c>
      <c r="E180" t="str">
        <f t="shared" si="7"/>
        <v>Client180</v>
      </c>
      <c r="F180" t="str">
        <f t="shared" si="8"/>
        <v>BOB180</v>
      </c>
      <c r="G180" t="s">
        <v>26</v>
      </c>
      <c r="H180" t="s">
        <v>27</v>
      </c>
      <c r="I180" s="11">
        <v>500000</v>
      </c>
      <c r="J180" s="11">
        <v>0</v>
      </c>
    </row>
    <row r="181" spans="1:10" x14ac:dyDescent="0.3">
      <c r="A181" s="10">
        <v>46020</v>
      </c>
      <c r="B181" t="s">
        <v>19</v>
      </c>
      <c r="C181" t="s">
        <v>40</v>
      </c>
      <c r="D181" t="str">
        <f t="shared" si="6"/>
        <v>342856178181</v>
      </c>
      <c r="E181" t="str">
        <f t="shared" si="7"/>
        <v>Client181</v>
      </c>
      <c r="F181" t="str">
        <f t="shared" si="8"/>
        <v>BOB181</v>
      </c>
      <c r="I181" s="11">
        <v>500000</v>
      </c>
      <c r="J181" s="11">
        <v>3004500</v>
      </c>
    </row>
    <row r="182" spans="1:10" x14ac:dyDescent="0.3">
      <c r="A182" s="10">
        <v>46020</v>
      </c>
      <c r="B182" t="s">
        <v>19</v>
      </c>
      <c r="C182" t="s">
        <v>38</v>
      </c>
      <c r="D182" t="str">
        <f t="shared" si="6"/>
        <v>342856178182</v>
      </c>
      <c r="E182" t="str">
        <f t="shared" si="7"/>
        <v>Client182</v>
      </c>
      <c r="F182" t="str">
        <f t="shared" si="8"/>
        <v>BOB182</v>
      </c>
      <c r="G182" t="s">
        <v>21</v>
      </c>
      <c r="H182" t="s">
        <v>22</v>
      </c>
      <c r="I182" s="11">
        <v>460000</v>
      </c>
      <c r="J182" s="11">
        <v>533000</v>
      </c>
    </row>
    <row r="183" spans="1:10" x14ac:dyDescent="0.3">
      <c r="A183" s="10">
        <v>46020</v>
      </c>
      <c r="B183" t="s">
        <v>19</v>
      </c>
      <c r="C183" t="s">
        <v>38</v>
      </c>
      <c r="D183" t="str">
        <f t="shared" si="6"/>
        <v>342856178183</v>
      </c>
      <c r="E183" t="str">
        <f t="shared" si="7"/>
        <v>Client183</v>
      </c>
      <c r="F183" t="str">
        <f t="shared" si="8"/>
        <v>BOB183</v>
      </c>
      <c r="G183" t="s">
        <v>21</v>
      </c>
      <c r="H183" t="s">
        <v>22</v>
      </c>
      <c r="I183" s="11">
        <v>400000</v>
      </c>
      <c r="J183" s="11">
        <v>1900000</v>
      </c>
    </row>
    <row r="184" spans="1:10" x14ac:dyDescent="0.3">
      <c r="A184" s="10">
        <v>46020</v>
      </c>
      <c r="B184" t="s">
        <v>19</v>
      </c>
      <c r="C184" t="s">
        <v>34</v>
      </c>
      <c r="D184" t="str">
        <f t="shared" si="6"/>
        <v>342856178184</v>
      </c>
      <c r="E184" t="str">
        <f t="shared" si="7"/>
        <v>Client184</v>
      </c>
      <c r="F184" t="str">
        <f t="shared" si="8"/>
        <v>BOB184</v>
      </c>
      <c r="G184" t="s">
        <v>32</v>
      </c>
      <c r="H184" t="s">
        <v>22</v>
      </c>
      <c r="I184" s="11">
        <v>400000</v>
      </c>
      <c r="J184" s="11">
        <v>3200000</v>
      </c>
    </row>
    <row r="185" spans="1:10" x14ac:dyDescent="0.3">
      <c r="A185" s="10">
        <v>46020</v>
      </c>
      <c r="B185" t="s">
        <v>19</v>
      </c>
      <c r="C185" t="s">
        <v>45</v>
      </c>
      <c r="D185" t="str">
        <f t="shared" si="6"/>
        <v>342856178185</v>
      </c>
      <c r="E185" t="str">
        <f t="shared" si="7"/>
        <v>Client185</v>
      </c>
      <c r="F185" t="str">
        <f t="shared" si="8"/>
        <v>BOB185</v>
      </c>
      <c r="G185" t="s">
        <v>32</v>
      </c>
      <c r="H185" t="s">
        <v>22</v>
      </c>
      <c r="I185" s="11">
        <v>400000</v>
      </c>
      <c r="J185" s="11">
        <v>700000</v>
      </c>
    </row>
    <row r="186" spans="1:10" x14ac:dyDescent="0.3">
      <c r="A186" s="10">
        <v>46020</v>
      </c>
      <c r="B186" t="s">
        <v>19</v>
      </c>
      <c r="C186" t="s">
        <v>35</v>
      </c>
      <c r="D186" t="str">
        <f t="shared" si="6"/>
        <v>342856178186</v>
      </c>
      <c r="E186" t="str">
        <f t="shared" si="7"/>
        <v>Client186</v>
      </c>
      <c r="F186" t="str">
        <f t="shared" si="8"/>
        <v>BOB186</v>
      </c>
      <c r="G186" t="s">
        <v>24</v>
      </c>
      <c r="H186" t="s">
        <v>22</v>
      </c>
      <c r="I186" s="11">
        <v>400000</v>
      </c>
      <c r="J186" s="11">
        <v>1200000</v>
      </c>
    </row>
    <row r="187" spans="1:10" x14ac:dyDescent="0.3">
      <c r="A187" s="10">
        <v>46020</v>
      </c>
      <c r="B187" t="s">
        <v>19</v>
      </c>
      <c r="C187" t="s">
        <v>35</v>
      </c>
      <c r="D187" t="str">
        <f t="shared" si="6"/>
        <v>342856178187</v>
      </c>
      <c r="E187" t="str">
        <f t="shared" si="7"/>
        <v>Client187</v>
      </c>
      <c r="F187" t="str">
        <f t="shared" si="8"/>
        <v>BOB187</v>
      </c>
      <c r="G187" t="s">
        <v>24</v>
      </c>
      <c r="H187" t="s">
        <v>22</v>
      </c>
      <c r="I187" s="11">
        <v>400000</v>
      </c>
      <c r="J187" s="11">
        <v>0</v>
      </c>
    </row>
    <row r="188" spans="1:10" x14ac:dyDescent="0.3">
      <c r="A188" s="10">
        <v>46020</v>
      </c>
      <c r="B188" t="s">
        <v>19</v>
      </c>
      <c r="C188" t="s">
        <v>50</v>
      </c>
      <c r="D188" t="str">
        <f t="shared" si="6"/>
        <v>342856178188</v>
      </c>
      <c r="E188" t="str">
        <f t="shared" si="7"/>
        <v>Client188</v>
      </c>
      <c r="F188" t="str">
        <f t="shared" si="8"/>
        <v>BOB188</v>
      </c>
      <c r="G188" t="s">
        <v>32</v>
      </c>
      <c r="H188" t="s">
        <v>22</v>
      </c>
      <c r="I188" s="11">
        <v>400000</v>
      </c>
      <c r="J188" s="11">
        <v>0</v>
      </c>
    </row>
    <row r="189" spans="1:10" x14ac:dyDescent="0.3">
      <c r="A189" s="10">
        <v>46020</v>
      </c>
      <c r="B189" t="s">
        <v>19</v>
      </c>
      <c r="C189" t="s">
        <v>37</v>
      </c>
      <c r="D189" t="str">
        <f t="shared" si="6"/>
        <v>342856178189</v>
      </c>
      <c r="E189" t="str">
        <f t="shared" si="7"/>
        <v>Client189</v>
      </c>
      <c r="F189" t="str">
        <f t="shared" si="8"/>
        <v>BOB189</v>
      </c>
      <c r="G189" t="s">
        <v>32</v>
      </c>
      <c r="H189" t="s">
        <v>22</v>
      </c>
      <c r="I189" s="11">
        <v>350000</v>
      </c>
      <c r="J189" s="11">
        <v>0</v>
      </c>
    </row>
    <row r="190" spans="1:10" x14ac:dyDescent="0.3">
      <c r="A190" s="10">
        <v>46020</v>
      </c>
      <c r="B190" t="s">
        <v>19</v>
      </c>
      <c r="C190" t="s">
        <v>34</v>
      </c>
      <c r="D190" t="str">
        <f t="shared" si="6"/>
        <v>342856178190</v>
      </c>
      <c r="E190" t="str">
        <f t="shared" si="7"/>
        <v>Client190</v>
      </c>
      <c r="F190" t="str">
        <f t="shared" si="8"/>
        <v>BOB190</v>
      </c>
      <c r="G190" t="s">
        <v>32</v>
      </c>
      <c r="H190" t="s">
        <v>22</v>
      </c>
      <c r="I190" s="11">
        <v>300000</v>
      </c>
      <c r="J190" s="11">
        <v>5300000</v>
      </c>
    </row>
    <row r="191" spans="1:10" x14ac:dyDescent="0.3">
      <c r="A191" s="10">
        <v>46020</v>
      </c>
      <c r="B191" t="s">
        <v>19</v>
      </c>
      <c r="C191" t="s">
        <v>36</v>
      </c>
      <c r="D191" t="str">
        <f t="shared" si="6"/>
        <v>342856178191</v>
      </c>
      <c r="E191" t="str">
        <f t="shared" si="7"/>
        <v>Client191</v>
      </c>
      <c r="F191" t="str">
        <f t="shared" si="8"/>
        <v>BOB191</v>
      </c>
      <c r="G191" t="s">
        <v>21</v>
      </c>
      <c r="H191" t="s">
        <v>22</v>
      </c>
      <c r="I191" s="11">
        <v>300000</v>
      </c>
      <c r="J191" s="11">
        <v>305000</v>
      </c>
    </row>
    <row r="192" spans="1:10" x14ac:dyDescent="0.3">
      <c r="A192" s="10">
        <v>46020</v>
      </c>
      <c r="B192" t="s">
        <v>19</v>
      </c>
      <c r="C192" t="s">
        <v>50</v>
      </c>
      <c r="D192" t="str">
        <f t="shared" si="6"/>
        <v>342856178192</v>
      </c>
      <c r="E192" t="str">
        <f t="shared" si="7"/>
        <v>Client192</v>
      </c>
      <c r="F192" t="str">
        <f t="shared" si="8"/>
        <v>BOB192</v>
      </c>
      <c r="G192" t="s">
        <v>32</v>
      </c>
      <c r="H192" t="s">
        <v>22</v>
      </c>
      <c r="I192" s="11">
        <v>300000</v>
      </c>
      <c r="J192" s="11">
        <v>0</v>
      </c>
    </row>
    <row r="193" spans="1:10" x14ac:dyDescent="0.3">
      <c r="A193" s="10">
        <v>46020</v>
      </c>
      <c r="B193" t="s">
        <v>19</v>
      </c>
      <c r="C193" t="s">
        <v>50</v>
      </c>
      <c r="D193" t="str">
        <f t="shared" si="6"/>
        <v>342856178193</v>
      </c>
      <c r="E193" t="str">
        <f t="shared" si="7"/>
        <v>Client193</v>
      </c>
      <c r="F193" t="str">
        <f t="shared" si="8"/>
        <v>BOB193</v>
      </c>
      <c r="G193" t="s">
        <v>32</v>
      </c>
      <c r="H193" t="s">
        <v>22</v>
      </c>
      <c r="I193" s="11">
        <v>300000</v>
      </c>
      <c r="J193" s="11">
        <v>0</v>
      </c>
    </row>
    <row r="194" spans="1:10" x14ac:dyDescent="0.3">
      <c r="A194" s="10">
        <v>46020</v>
      </c>
      <c r="B194" t="s">
        <v>19</v>
      </c>
      <c r="C194" t="s">
        <v>39</v>
      </c>
      <c r="D194" t="str">
        <f t="shared" ref="D194:D257" si="9" xml:space="preserve"> "342856178" &amp; ROW()</f>
        <v>342856178194</v>
      </c>
      <c r="E194" t="str">
        <f t="shared" si="7"/>
        <v>Client194</v>
      </c>
      <c r="F194" t="str">
        <f t="shared" si="8"/>
        <v>BOB194</v>
      </c>
      <c r="G194" t="s">
        <v>32</v>
      </c>
      <c r="H194" t="s">
        <v>22</v>
      </c>
      <c r="I194" s="11">
        <v>220000</v>
      </c>
      <c r="J194" s="11">
        <v>500000</v>
      </c>
    </row>
    <row r="195" spans="1:10" x14ac:dyDescent="0.3">
      <c r="A195" s="10">
        <v>46020</v>
      </c>
      <c r="B195" t="s">
        <v>19</v>
      </c>
      <c r="C195" t="s">
        <v>34</v>
      </c>
      <c r="D195" t="str">
        <f t="shared" si="9"/>
        <v>342856178195</v>
      </c>
      <c r="E195" t="str">
        <f t="shared" ref="E195:E258" si="10">"Client"  &amp; ROW()</f>
        <v>Client195</v>
      </c>
      <c r="F195" t="str">
        <f t="shared" ref="F195:F258" si="11">"BOB"&amp;ROW()</f>
        <v>BOB195</v>
      </c>
      <c r="G195" t="s">
        <v>32</v>
      </c>
      <c r="H195" t="s">
        <v>22</v>
      </c>
      <c r="I195" s="11">
        <v>220000</v>
      </c>
      <c r="J195" s="11">
        <v>4621000</v>
      </c>
    </row>
    <row r="196" spans="1:10" x14ac:dyDescent="0.3">
      <c r="A196" s="10">
        <v>46020</v>
      </c>
      <c r="B196" t="s">
        <v>19</v>
      </c>
      <c r="C196" t="s">
        <v>38</v>
      </c>
      <c r="D196" t="str">
        <f t="shared" si="9"/>
        <v>342856178196</v>
      </c>
      <c r="E196" t="str">
        <f t="shared" si="10"/>
        <v>Client196</v>
      </c>
      <c r="F196" t="str">
        <f t="shared" si="11"/>
        <v>BOB196</v>
      </c>
      <c r="G196" t="s">
        <v>21</v>
      </c>
      <c r="H196" t="s">
        <v>22</v>
      </c>
      <c r="I196" s="11">
        <v>200000</v>
      </c>
      <c r="J196" s="11">
        <v>200000</v>
      </c>
    </row>
    <row r="197" spans="1:10" x14ac:dyDescent="0.3">
      <c r="A197" s="10">
        <v>46020</v>
      </c>
      <c r="B197" t="s">
        <v>19</v>
      </c>
      <c r="C197" t="s">
        <v>39</v>
      </c>
      <c r="D197" t="str">
        <f t="shared" si="9"/>
        <v>342856178197</v>
      </c>
      <c r="E197" t="str">
        <f t="shared" si="10"/>
        <v>Client197</v>
      </c>
      <c r="F197" t="str">
        <f t="shared" si="11"/>
        <v>BOB197</v>
      </c>
      <c r="G197" t="s">
        <v>32</v>
      </c>
      <c r="H197" t="s">
        <v>22</v>
      </c>
      <c r="I197" s="11">
        <v>200000</v>
      </c>
      <c r="J197" s="11">
        <v>500000</v>
      </c>
    </row>
    <row r="198" spans="1:10" x14ac:dyDescent="0.3">
      <c r="A198" s="10">
        <v>46020</v>
      </c>
      <c r="B198" t="s">
        <v>19</v>
      </c>
      <c r="C198" t="s">
        <v>34</v>
      </c>
      <c r="D198" t="str">
        <f t="shared" si="9"/>
        <v>342856178198</v>
      </c>
      <c r="E198" t="str">
        <f t="shared" si="10"/>
        <v>Client198</v>
      </c>
      <c r="F198" t="str">
        <f t="shared" si="11"/>
        <v>BOB198</v>
      </c>
      <c r="G198" t="s">
        <v>32</v>
      </c>
      <c r="H198" t="s">
        <v>22</v>
      </c>
      <c r="I198" s="11">
        <v>200000</v>
      </c>
      <c r="J198" s="11">
        <v>1221000</v>
      </c>
    </row>
    <row r="199" spans="1:10" x14ac:dyDescent="0.3">
      <c r="A199" s="10">
        <v>46020</v>
      </c>
      <c r="B199" t="s">
        <v>19</v>
      </c>
      <c r="C199" t="s">
        <v>34</v>
      </c>
      <c r="D199" t="str">
        <f t="shared" si="9"/>
        <v>342856178199</v>
      </c>
      <c r="E199" t="str">
        <f t="shared" si="10"/>
        <v>Client199</v>
      </c>
      <c r="F199" t="str">
        <f t="shared" si="11"/>
        <v>BOB199</v>
      </c>
      <c r="G199" t="s">
        <v>32</v>
      </c>
      <c r="H199" t="s">
        <v>22</v>
      </c>
      <c r="I199" s="11">
        <v>200000</v>
      </c>
      <c r="J199" s="11">
        <v>0</v>
      </c>
    </row>
    <row r="200" spans="1:10" x14ac:dyDescent="0.3">
      <c r="A200" s="10">
        <v>46020</v>
      </c>
      <c r="B200" t="s">
        <v>19</v>
      </c>
      <c r="C200" t="s">
        <v>23</v>
      </c>
      <c r="D200" t="str">
        <f t="shared" si="9"/>
        <v>342856178200</v>
      </c>
      <c r="E200" t="str">
        <f t="shared" si="10"/>
        <v>Client200</v>
      </c>
      <c r="F200" t="str">
        <f t="shared" si="11"/>
        <v>BOB200</v>
      </c>
      <c r="G200" t="s">
        <v>24</v>
      </c>
      <c r="H200" t="s">
        <v>22</v>
      </c>
      <c r="I200" s="11">
        <v>200000</v>
      </c>
      <c r="J200" s="11">
        <v>0</v>
      </c>
    </row>
    <row r="201" spans="1:10" x14ac:dyDescent="0.3">
      <c r="A201" s="10">
        <v>46020</v>
      </c>
      <c r="B201" t="s">
        <v>19</v>
      </c>
      <c r="C201" t="s">
        <v>35</v>
      </c>
      <c r="D201" t="str">
        <f t="shared" si="9"/>
        <v>342856178201</v>
      </c>
      <c r="E201" t="str">
        <f t="shared" si="10"/>
        <v>Client201</v>
      </c>
      <c r="F201" t="str">
        <f t="shared" si="11"/>
        <v>BOB201</v>
      </c>
      <c r="G201" t="s">
        <v>24</v>
      </c>
      <c r="H201" t="s">
        <v>22</v>
      </c>
      <c r="I201" s="11">
        <v>200000</v>
      </c>
      <c r="J201" s="11">
        <v>0</v>
      </c>
    </row>
    <row r="202" spans="1:10" x14ac:dyDescent="0.3">
      <c r="A202" s="10">
        <v>46020</v>
      </c>
      <c r="B202" t="s">
        <v>19</v>
      </c>
      <c r="C202" t="s">
        <v>40</v>
      </c>
      <c r="D202" t="str">
        <f t="shared" si="9"/>
        <v>342856178202</v>
      </c>
      <c r="E202" t="str">
        <f t="shared" si="10"/>
        <v>Client202</v>
      </c>
      <c r="F202" t="str">
        <f t="shared" si="11"/>
        <v>BOB202</v>
      </c>
      <c r="I202" s="11">
        <v>200000</v>
      </c>
      <c r="J202" s="11">
        <v>0</v>
      </c>
    </row>
    <row r="203" spans="1:10" x14ac:dyDescent="0.3">
      <c r="A203" s="10">
        <v>46020</v>
      </c>
      <c r="B203" t="s">
        <v>19</v>
      </c>
      <c r="C203" t="s">
        <v>51</v>
      </c>
      <c r="D203" t="str">
        <f t="shared" si="9"/>
        <v>342856178203</v>
      </c>
      <c r="E203" t="str">
        <f t="shared" si="10"/>
        <v>Client203</v>
      </c>
      <c r="F203" t="str">
        <f t="shared" si="11"/>
        <v>BOB203</v>
      </c>
      <c r="G203" t="s">
        <v>26</v>
      </c>
      <c r="H203" t="s">
        <v>27</v>
      </c>
      <c r="I203" s="11">
        <v>174000</v>
      </c>
      <c r="J203" s="11">
        <v>0</v>
      </c>
    </row>
    <row r="204" spans="1:10" x14ac:dyDescent="0.3">
      <c r="A204" s="10">
        <v>46020</v>
      </c>
      <c r="B204" t="s">
        <v>19</v>
      </c>
      <c r="C204" t="s">
        <v>37</v>
      </c>
      <c r="D204" t="str">
        <f t="shared" si="9"/>
        <v>342856178204</v>
      </c>
      <c r="E204" t="str">
        <f t="shared" si="10"/>
        <v>Client204</v>
      </c>
      <c r="F204" t="str">
        <f t="shared" si="11"/>
        <v>BOB204</v>
      </c>
      <c r="G204" t="s">
        <v>32</v>
      </c>
      <c r="H204" t="s">
        <v>22</v>
      </c>
      <c r="I204" s="11">
        <v>110000</v>
      </c>
      <c r="J204" s="11">
        <v>0</v>
      </c>
    </row>
    <row r="205" spans="1:10" x14ac:dyDescent="0.3">
      <c r="A205" s="10">
        <v>46020</v>
      </c>
      <c r="B205" t="s">
        <v>19</v>
      </c>
      <c r="C205" t="s">
        <v>39</v>
      </c>
      <c r="D205" t="str">
        <f t="shared" si="9"/>
        <v>342856178205</v>
      </c>
      <c r="E205" t="str">
        <f t="shared" si="10"/>
        <v>Client205</v>
      </c>
      <c r="F205" t="str">
        <f t="shared" si="11"/>
        <v>BOB205</v>
      </c>
      <c r="G205" t="s">
        <v>32</v>
      </c>
      <c r="H205" t="s">
        <v>22</v>
      </c>
      <c r="I205" s="11">
        <v>0</v>
      </c>
      <c r="J205" s="11">
        <v>1100000</v>
      </c>
    </row>
    <row r="206" spans="1:10" x14ac:dyDescent="0.3">
      <c r="A206" s="10">
        <v>46020</v>
      </c>
      <c r="B206" t="s">
        <v>19</v>
      </c>
      <c r="C206" t="s">
        <v>39</v>
      </c>
      <c r="D206" t="str">
        <f t="shared" si="9"/>
        <v>342856178206</v>
      </c>
      <c r="E206" t="str">
        <f t="shared" si="10"/>
        <v>Client206</v>
      </c>
      <c r="F206" t="str">
        <f t="shared" si="11"/>
        <v>BOB206</v>
      </c>
      <c r="G206" t="s">
        <v>32</v>
      </c>
      <c r="H206" t="s">
        <v>22</v>
      </c>
      <c r="I206" s="11">
        <v>0</v>
      </c>
      <c r="J206" s="11">
        <v>900000</v>
      </c>
    </row>
    <row r="207" spans="1:10" x14ac:dyDescent="0.3">
      <c r="A207" s="10">
        <v>46020</v>
      </c>
      <c r="B207" t="s">
        <v>19</v>
      </c>
      <c r="C207" t="s">
        <v>39</v>
      </c>
      <c r="D207" t="str">
        <f t="shared" si="9"/>
        <v>342856178207</v>
      </c>
      <c r="E207" t="str">
        <f t="shared" si="10"/>
        <v>Client207</v>
      </c>
      <c r="F207" t="str">
        <f t="shared" si="11"/>
        <v>BOB207</v>
      </c>
      <c r="G207" t="s">
        <v>32</v>
      </c>
      <c r="H207" t="s">
        <v>22</v>
      </c>
      <c r="I207" s="11">
        <v>0</v>
      </c>
      <c r="J207" s="11">
        <v>600000</v>
      </c>
    </row>
    <row r="208" spans="1:10" x14ac:dyDescent="0.3">
      <c r="A208" s="10">
        <v>46020</v>
      </c>
      <c r="B208" t="s">
        <v>19</v>
      </c>
      <c r="C208" t="s">
        <v>39</v>
      </c>
      <c r="D208" t="str">
        <f t="shared" si="9"/>
        <v>342856178208</v>
      </c>
      <c r="E208" t="str">
        <f t="shared" si="10"/>
        <v>Client208</v>
      </c>
      <c r="F208" t="str">
        <f t="shared" si="11"/>
        <v>BOB208</v>
      </c>
      <c r="G208" t="s">
        <v>32</v>
      </c>
      <c r="H208" t="s">
        <v>22</v>
      </c>
      <c r="I208" s="11">
        <v>0</v>
      </c>
      <c r="J208" s="11">
        <v>300000</v>
      </c>
    </row>
    <row r="209" spans="1:10" x14ac:dyDescent="0.3">
      <c r="A209" s="10">
        <v>46020</v>
      </c>
      <c r="B209" t="s">
        <v>19</v>
      </c>
      <c r="C209" t="s">
        <v>39</v>
      </c>
      <c r="D209" t="str">
        <f t="shared" si="9"/>
        <v>342856178209</v>
      </c>
      <c r="E209" t="str">
        <f t="shared" si="10"/>
        <v>Client209</v>
      </c>
      <c r="F209" t="str">
        <f t="shared" si="11"/>
        <v>BOB209</v>
      </c>
      <c r="G209" t="s">
        <v>32</v>
      </c>
      <c r="H209" t="s">
        <v>22</v>
      </c>
      <c r="I209" s="11">
        <v>0</v>
      </c>
      <c r="J209" s="11">
        <v>500000</v>
      </c>
    </row>
    <row r="210" spans="1:10" x14ac:dyDescent="0.3">
      <c r="A210" s="10">
        <v>46020</v>
      </c>
      <c r="B210" t="s">
        <v>19</v>
      </c>
      <c r="C210" t="s">
        <v>39</v>
      </c>
      <c r="D210" t="str">
        <f t="shared" si="9"/>
        <v>342856178210</v>
      </c>
      <c r="E210" t="str">
        <f t="shared" si="10"/>
        <v>Client210</v>
      </c>
      <c r="F210" t="str">
        <f t="shared" si="11"/>
        <v>BOB210</v>
      </c>
      <c r="G210" t="s">
        <v>32</v>
      </c>
      <c r="H210" t="s">
        <v>22</v>
      </c>
      <c r="I210" s="11">
        <v>0</v>
      </c>
      <c r="J210" s="11">
        <v>2720000</v>
      </c>
    </row>
    <row r="211" spans="1:10" x14ac:dyDescent="0.3">
      <c r="A211" s="10">
        <v>46020</v>
      </c>
      <c r="B211" t="s">
        <v>19</v>
      </c>
      <c r="C211" t="s">
        <v>39</v>
      </c>
      <c r="D211" t="str">
        <f t="shared" si="9"/>
        <v>342856178211</v>
      </c>
      <c r="E211" t="str">
        <f t="shared" si="10"/>
        <v>Client211</v>
      </c>
      <c r="F211" t="str">
        <f t="shared" si="11"/>
        <v>BOB211</v>
      </c>
      <c r="G211" t="s">
        <v>32</v>
      </c>
      <c r="H211" t="s">
        <v>22</v>
      </c>
      <c r="I211" s="11">
        <v>0</v>
      </c>
      <c r="J211" s="11">
        <v>125000</v>
      </c>
    </row>
    <row r="212" spans="1:10" x14ac:dyDescent="0.3">
      <c r="A212" s="10">
        <v>46020</v>
      </c>
      <c r="B212" t="s">
        <v>19</v>
      </c>
      <c r="C212" t="s">
        <v>39</v>
      </c>
      <c r="D212" t="str">
        <f t="shared" si="9"/>
        <v>342856178212</v>
      </c>
      <c r="E212" t="str">
        <f t="shared" si="10"/>
        <v>Client212</v>
      </c>
      <c r="F212" t="str">
        <f t="shared" si="11"/>
        <v>BOB212</v>
      </c>
      <c r="G212" t="s">
        <v>32</v>
      </c>
      <c r="H212" t="s">
        <v>22</v>
      </c>
      <c r="I212" s="11">
        <v>0</v>
      </c>
      <c r="J212" s="11">
        <v>101000</v>
      </c>
    </row>
    <row r="213" spans="1:10" x14ac:dyDescent="0.3">
      <c r="A213" s="10">
        <v>46020</v>
      </c>
      <c r="B213" t="s">
        <v>19</v>
      </c>
      <c r="C213" t="s">
        <v>39</v>
      </c>
      <c r="D213" t="str">
        <f t="shared" si="9"/>
        <v>342856178213</v>
      </c>
      <c r="E213" t="str">
        <f t="shared" si="10"/>
        <v>Client213</v>
      </c>
      <c r="F213" t="str">
        <f t="shared" si="11"/>
        <v>BOB213</v>
      </c>
      <c r="G213" t="s">
        <v>32</v>
      </c>
      <c r="H213" t="s">
        <v>22</v>
      </c>
      <c r="I213" s="11">
        <v>0</v>
      </c>
      <c r="J213" s="11">
        <v>390000</v>
      </c>
    </row>
    <row r="214" spans="1:10" x14ac:dyDescent="0.3">
      <c r="A214" s="10">
        <v>46020</v>
      </c>
      <c r="B214" t="s">
        <v>19</v>
      </c>
      <c r="C214" t="s">
        <v>28</v>
      </c>
      <c r="D214" t="str">
        <f t="shared" si="9"/>
        <v>342856178214</v>
      </c>
      <c r="E214" t="str">
        <f t="shared" si="10"/>
        <v>Client214</v>
      </c>
      <c r="F214" t="str">
        <f t="shared" si="11"/>
        <v>BOB214</v>
      </c>
      <c r="G214" t="s">
        <v>24</v>
      </c>
      <c r="H214" t="s">
        <v>22</v>
      </c>
      <c r="I214" s="11">
        <v>0</v>
      </c>
      <c r="J214" s="11">
        <v>1500000</v>
      </c>
    </row>
    <row r="215" spans="1:10" x14ac:dyDescent="0.3">
      <c r="A215" s="10">
        <v>46020</v>
      </c>
      <c r="B215" t="s">
        <v>19</v>
      </c>
      <c r="C215" t="s">
        <v>28</v>
      </c>
      <c r="D215" t="str">
        <f t="shared" si="9"/>
        <v>342856178215</v>
      </c>
      <c r="E215" t="str">
        <f t="shared" si="10"/>
        <v>Client215</v>
      </c>
      <c r="F215" t="str">
        <f t="shared" si="11"/>
        <v>BOB215</v>
      </c>
      <c r="G215" t="s">
        <v>24</v>
      </c>
      <c r="H215" t="s">
        <v>22</v>
      </c>
      <c r="I215" s="11">
        <v>0</v>
      </c>
      <c r="J215" s="11">
        <v>8000000</v>
      </c>
    </row>
    <row r="216" spans="1:10" x14ac:dyDescent="0.3">
      <c r="A216" s="10">
        <v>46020</v>
      </c>
      <c r="B216" t="s">
        <v>19</v>
      </c>
      <c r="C216" t="s">
        <v>49</v>
      </c>
      <c r="D216" t="str">
        <f t="shared" si="9"/>
        <v>342856178216</v>
      </c>
      <c r="E216" t="str">
        <f t="shared" si="10"/>
        <v>Client216</v>
      </c>
      <c r="F216" t="str">
        <f t="shared" si="11"/>
        <v>BOB216</v>
      </c>
      <c r="G216" t="s">
        <v>21</v>
      </c>
      <c r="H216" t="s">
        <v>22</v>
      </c>
      <c r="I216" s="11">
        <v>0</v>
      </c>
      <c r="J216" s="11">
        <v>970000</v>
      </c>
    </row>
    <row r="217" spans="1:10" x14ac:dyDescent="0.3">
      <c r="A217" s="10">
        <v>46020</v>
      </c>
      <c r="B217" t="s">
        <v>19</v>
      </c>
      <c r="C217" t="s">
        <v>49</v>
      </c>
      <c r="D217" t="str">
        <f t="shared" si="9"/>
        <v>342856178217</v>
      </c>
      <c r="E217" t="str">
        <f t="shared" si="10"/>
        <v>Client217</v>
      </c>
      <c r="F217" t="str">
        <f t="shared" si="11"/>
        <v>BOB217</v>
      </c>
      <c r="G217" t="s">
        <v>21</v>
      </c>
      <c r="H217" t="s">
        <v>22</v>
      </c>
      <c r="I217" s="11">
        <v>0</v>
      </c>
      <c r="J217" s="11">
        <v>450000</v>
      </c>
    </row>
    <row r="218" spans="1:10" x14ac:dyDescent="0.3">
      <c r="A218" s="10">
        <v>46020</v>
      </c>
      <c r="B218" t="s">
        <v>19</v>
      </c>
      <c r="C218" t="s">
        <v>34</v>
      </c>
      <c r="D218" t="str">
        <f t="shared" si="9"/>
        <v>342856178218</v>
      </c>
      <c r="E218" t="str">
        <f t="shared" si="10"/>
        <v>Client218</v>
      </c>
      <c r="F218" t="str">
        <f t="shared" si="11"/>
        <v>BOB218</v>
      </c>
      <c r="G218" t="s">
        <v>32</v>
      </c>
      <c r="H218" t="s">
        <v>22</v>
      </c>
      <c r="I218" s="11">
        <v>0</v>
      </c>
      <c r="J218" s="11">
        <v>500000</v>
      </c>
    </row>
    <row r="219" spans="1:10" x14ac:dyDescent="0.3">
      <c r="A219" s="10">
        <v>46020</v>
      </c>
      <c r="B219" t="s">
        <v>19</v>
      </c>
      <c r="C219" t="s">
        <v>34</v>
      </c>
      <c r="D219" t="str">
        <f t="shared" si="9"/>
        <v>342856178219</v>
      </c>
      <c r="E219" t="str">
        <f t="shared" si="10"/>
        <v>Client219</v>
      </c>
      <c r="F219" t="str">
        <f t="shared" si="11"/>
        <v>BOB219</v>
      </c>
      <c r="G219" t="s">
        <v>32</v>
      </c>
      <c r="H219" t="s">
        <v>22</v>
      </c>
      <c r="I219" s="11">
        <v>0</v>
      </c>
      <c r="J219" s="11">
        <v>300000</v>
      </c>
    </row>
    <row r="220" spans="1:10" x14ac:dyDescent="0.3">
      <c r="A220" s="10">
        <v>46020</v>
      </c>
      <c r="B220" t="s">
        <v>19</v>
      </c>
      <c r="C220" t="s">
        <v>34</v>
      </c>
      <c r="D220" t="str">
        <f t="shared" si="9"/>
        <v>342856178220</v>
      </c>
      <c r="E220" t="str">
        <f t="shared" si="10"/>
        <v>Client220</v>
      </c>
      <c r="F220" t="str">
        <f t="shared" si="11"/>
        <v>BOB220</v>
      </c>
      <c r="G220" t="s">
        <v>32</v>
      </c>
      <c r="H220" t="s">
        <v>22</v>
      </c>
      <c r="I220" s="11">
        <v>0</v>
      </c>
      <c r="J220" s="11">
        <v>800000</v>
      </c>
    </row>
    <row r="221" spans="1:10" x14ac:dyDescent="0.3">
      <c r="A221" s="10">
        <v>46020</v>
      </c>
      <c r="B221" t="s">
        <v>19</v>
      </c>
      <c r="C221" t="s">
        <v>34</v>
      </c>
      <c r="D221" t="str">
        <f t="shared" si="9"/>
        <v>342856178221</v>
      </c>
      <c r="E221" t="str">
        <f t="shared" si="10"/>
        <v>Client221</v>
      </c>
      <c r="F221" t="str">
        <f t="shared" si="11"/>
        <v>BOB221</v>
      </c>
      <c r="G221" t="s">
        <v>32</v>
      </c>
      <c r="H221" t="s">
        <v>22</v>
      </c>
      <c r="I221" s="11">
        <v>0</v>
      </c>
      <c r="J221" s="11">
        <v>1000000</v>
      </c>
    </row>
    <row r="222" spans="1:10" x14ac:dyDescent="0.3">
      <c r="A222" s="10">
        <v>46020</v>
      </c>
      <c r="B222" t="s">
        <v>19</v>
      </c>
      <c r="C222" t="s">
        <v>34</v>
      </c>
      <c r="D222" t="str">
        <f t="shared" si="9"/>
        <v>342856178222</v>
      </c>
      <c r="E222" t="str">
        <f t="shared" si="10"/>
        <v>Client222</v>
      </c>
      <c r="F222" t="str">
        <f>"BOB"&amp;ROW()</f>
        <v>BOB222</v>
      </c>
      <c r="G222" t="s">
        <v>32</v>
      </c>
      <c r="H222" t="s">
        <v>22</v>
      </c>
      <c r="I222" s="11">
        <v>0</v>
      </c>
      <c r="J222" s="11">
        <v>6350000</v>
      </c>
    </row>
    <row r="223" spans="1:10" x14ac:dyDescent="0.3">
      <c r="A223" s="10">
        <v>46020</v>
      </c>
      <c r="B223" t="s">
        <v>19</v>
      </c>
      <c r="C223" t="s">
        <v>34</v>
      </c>
      <c r="D223" t="str">
        <f t="shared" si="9"/>
        <v>342856178223</v>
      </c>
      <c r="E223" t="str">
        <f>"Client"  &amp; ROW()</f>
        <v>Client223</v>
      </c>
      <c r="F223" t="str">
        <f t="shared" si="11"/>
        <v>BOB223</v>
      </c>
      <c r="G223" t="s">
        <v>32</v>
      </c>
      <c r="H223" t="s">
        <v>22</v>
      </c>
      <c r="I223" s="11">
        <v>0</v>
      </c>
      <c r="J223" s="11">
        <v>2400000</v>
      </c>
    </row>
    <row r="224" spans="1:10" x14ac:dyDescent="0.3">
      <c r="A224" s="10">
        <v>46020</v>
      </c>
      <c r="B224" t="s">
        <v>19</v>
      </c>
      <c r="C224" t="s">
        <v>34</v>
      </c>
      <c r="D224" t="str">
        <f t="shared" si="9"/>
        <v>342856178224</v>
      </c>
      <c r="E224" t="str">
        <f t="shared" si="10"/>
        <v>Client224</v>
      </c>
      <c r="F224" t="str">
        <f t="shared" si="11"/>
        <v>BOB224</v>
      </c>
      <c r="G224" t="s">
        <v>32</v>
      </c>
      <c r="H224" t="s">
        <v>22</v>
      </c>
      <c r="I224" s="11">
        <v>0</v>
      </c>
      <c r="J224" s="11">
        <v>300000</v>
      </c>
    </row>
    <row r="225" spans="1:10" x14ac:dyDescent="0.3">
      <c r="A225" s="10">
        <v>46020</v>
      </c>
      <c r="B225" t="s">
        <v>19</v>
      </c>
      <c r="C225" t="s">
        <v>34</v>
      </c>
      <c r="D225" t="str">
        <f t="shared" si="9"/>
        <v>342856178225</v>
      </c>
      <c r="E225" t="str">
        <f t="shared" si="10"/>
        <v>Client225</v>
      </c>
      <c r="F225" t="str">
        <f t="shared" si="11"/>
        <v>BOB225</v>
      </c>
      <c r="G225" t="s">
        <v>32</v>
      </c>
      <c r="H225" t="s">
        <v>22</v>
      </c>
      <c r="I225" s="11">
        <v>0</v>
      </c>
      <c r="J225" s="11">
        <v>500000</v>
      </c>
    </row>
    <row r="226" spans="1:10" x14ac:dyDescent="0.3">
      <c r="A226" s="10">
        <v>46020</v>
      </c>
      <c r="B226" t="s">
        <v>19</v>
      </c>
      <c r="C226" t="s">
        <v>23</v>
      </c>
      <c r="D226" t="str">
        <f t="shared" si="9"/>
        <v>342856178226</v>
      </c>
      <c r="E226" t="str">
        <f t="shared" si="10"/>
        <v>Client226</v>
      </c>
      <c r="F226" t="str">
        <f t="shared" si="11"/>
        <v>BOB226</v>
      </c>
      <c r="G226" t="s">
        <v>24</v>
      </c>
      <c r="H226" t="s">
        <v>22</v>
      </c>
      <c r="I226" s="11">
        <v>0</v>
      </c>
      <c r="J226" s="11">
        <v>1001500</v>
      </c>
    </row>
    <row r="227" spans="1:10" x14ac:dyDescent="0.3">
      <c r="A227" s="10">
        <v>46020</v>
      </c>
      <c r="B227" t="s">
        <v>19</v>
      </c>
      <c r="C227" t="s">
        <v>23</v>
      </c>
      <c r="D227" t="str">
        <f t="shared" si="9"/>
        <v>342856178227</v>
      </c>
      <c r="E227" t="str">
        <f t="shared" si="10"/>
        <v>Client227</v>
      </c>
      <c r="F227" t="str">
        <f t="shared" si="11"/>
        <v>BOB227</v>
      </c>
      <c r="G227" t="s">
        <v>24</v>
      </c>
      <c r="H227" t="s">
        <v>22</v>
      </c>
      <c r="I227" s="11">
        <v>0</v>
      </c>
      <c r="J227" s="11">
        <v>2003000</v>
      </c>
    </row>
    <row r="228" spans="1:10" x14ac:dyDescent="0.3">
      <c r="A228" s="10">
        <v>46020</v>
      </c>
      <c r="B228" t="s">
        <v>19</v>
      </c>
      <c r="C228" t="s">
        <v>23</v>
      </c>
      <c r="D228" t="str">
        <f t="shared" si="9"/>
        <v>342856178228</v>
      </c>
      <c r="E228" t="str">
        <f t="shared" si="10"/>
        <v>Client228</v>
      </c>
      <c r="F228" t="str">
        <f t="shared" si="11"/>
        <v>BOB228</v>
      </c>
      <c r="G228" t="s">
        <v>24</v>
      </c>
      <c r="H228" t="s">
        <v>22</v>
      </c>
      <c r="I228" s="11">
        <v>0</v>
      </c>
      <c r="J228" s="11">
        <v>1000000</v>
      </c>
    </row>
    <row r="229" spans="1:10" x14ac:dyDescent="0.3">
      <c r="A229" s="10">
        <v>46020</v>
      </c>
      <c r="B229" t="s">
        <v>19</v>
      </c>
      <c r="C229" t="s">
        <v>23</v>
      </c>
      <c r="D229" t="str">
        <f t="shared" si="9"/>
        <v>342856178229</v>
      </c>
      <c r="E229" t="str">
        <f t="shared" si="10"/>
        <v>Client229</v>
      </c>
      <c r="F229" t="str">
        <f t="shared" si="11"/>
        <v>BOB229</v>
      </c>
      <c r="G229" t="s">
        <v>24</v>
      </c>
      <c r="H229" t="s">
        <v>22</v>
      </c>
      <c r="I229" s="11">
        <v>0</v>
      </c>
      <c r="J229" s="11">
        <v>100000</v>
      </c>
    </row>
    <row r="230" spans="1:10" x14ac:dyDescent="0.3">
      <c r="A230" s="10">
        <v>46020</v>
      </c>
      <c r="B230" t="s">
        <v>19</v>
      </c>
      <c r="C230" t="s">
        <v>23</v>
      </c>
      <c r="D230" t="str">
        <f t="shared" si="9"/>
        <v>342856178230</v>
      </c>
      <c r="E230" t="str">
        <f t="shared" si="10"/>
        <v>Client230</v>
      </c>
      <c r="F230" t="str">
        <f t="shared" si="11"/>
        <v>BOB230</v>
      </c>
      <c r="G230" t="s">
        <v>24</v>
      </c>
      <c r="H230" t="s">
        <v>22</v>
      </c>
      <c r="I230" s="11">
        <v>0</v>
      </c>
      <c r="J230" s="11">
        <v>650000</v>
      </c>
    </row>
    <row r="231" spans="1:10" x14ac:dyDescent="0.3">
      <c r="A231" s="10">
        <v>46020</v>
      </c>
      <c r="B231" t="s">
        <v>19</v>
      </c>
      <c r="C231" t="s">
        <v>23</v>
      </c>
      <c r="D231" t="str">
        <f t="shared" si="9"/>
        <v>342856178231</v>
      </c>
      <c r="E231" t="str">
        <f t="shared" si="10"/>
        <v>Client231</v>
      </c>
      <c r="F231" t="str">
        <f t="shared" si="11"/>
        <v>BOB231</v>
      </c>
      <c r="G231" t="s">
        <v>24</v>
      </c>
      <c r="H231" t="s">
        <v>22</v>
      </c>
      <c r="I231" s="11">
        <v>0</v>
      </c>
      <c r="J231" s="11">
        <v>11000000</v>
      </c>
    </row>
    <row r="232" spans="1:10" x14ac:dyDescent="0.3">
      <c r="A232" s="10">
        <v>46020</v>
      </c>
      <c r="B232" t="s">
        <v>19</v>
      </c>
      <c r="C232" t="s">
        <v>23</v>
      </c>
      <c r="D232" t="str">
        <f t="shared" si="9"/>
        <v>342856178232</v>
      </c>
      <c r="E232" t="str">
        <f t="shared" si="10"/>
        <v>Client232</v>
      </c>
      <c r="F232" t="str">
        <f t="shared" si="11"/>
        <v>BOB232</v>
      </c>
      <c r="G232" t="s">
        <v>24</v>
      </c>
      <c r="H232" t="s">
        <v>22</v>
      </c>
      <c r="I232" s="11">
        <v>0</v>
      </c>
      <c r="J232" s="11">
        <v>346700</v>
      </c>
    </row>
    <row r="233" spans="1:10" x14ac:dyDescent="0.3">
      <c r="A233" s="10">
        <v>46020</v>
      </c>
      <c r="B233" t="s">
        <v>19</v>
      </c>
      <c r="C233" t="s">
        <v>23</v>
      </c>
      <c r="D233" t="str">
        <f t="shared" si="9"/>
        <v>342856178233</v>
      </c>
      <c r="E233" t="str">
        <f t="shared" si="10"/>
        <v>Client233</v>
      </c>
      <c r="F233" t="str">
        <f t="shared" si="11"/>
        <v>BOB233</v>
      </c>
      <c r="G233" t="s">
        <v>24</v>
      </c>
      <c r="H233" t="s">
        <v>22</v>
      </c>
      <c r="I233" s="11">
        <v>0</v>
      </c>
      <c r="J233" s="11">
        <v>3004500</v>
      </c>
    </row>
    <row r="234" spans="1:10" x14ac:dyDescent="0.3">
      <c r="A234" s="10">
        <v>46020</v>
      </c>
      <c r="B234" t="s">
        <v>19</v>
      </c>
      <c r="C234" t="s">
        <v>23</v>
      </c>
      <c r="D234" t="str">
        <f t="shared" si="9"/>
        <v>342856178234</v>
      </c>
      <c r="E234" t="str">
        <f t="shared" si="10"/>
        <v>Client234</v>
      </c>
      <c r="F234" t="str">
        <f t="shared" si="11"/>
        <v>BOB234</v>
      </c>
      <c r="G234" t="s">
        <v>24</v>
      </c>
      <c r="H234" t="s">
        <v>22</v>
      </c>
      <c r="I234" s="11">
        <v>0</v>
      </c>
      <c r="J234" s="11">
        <v>5000000</v>
      </c>
    </row>
    <row r="235" spans="1:10" x14ac:dyDescent="0.3">
      <c r="A235" s="10">
        <v>46020</v>
      </c>
      <c r="B235" t="s">
        <v>19</v>
      </c>
      <c r="C235" t="s">
        <v>23</v>
      </c>
      <c r="D235" t="str">
        <f t="shared" si="9"/>
        <v>342856178235</v>
      </c>
      <c r="E235" t="str">
        <f t="shared" si="10"/>
        <v>Client235</v>
      </c>
      <c r="F235" t="str">
        <f t="shared" si="11"/>
        <v>BOB235</v>
      </c>
      <c r="G235" t="s">
        <v>24</v>
      </c>
      <c r="H235" t="s">
        <v>22</v>
      </c>
      <c r="I235" s="11">
        <v>0</v>
      </c>
      <c r="J235" s="11">
        <v>288300</v>
      </c>
    </row>
    <row r="236" spans="1:10" x14ac:dyDescent="0.3">
      <c r="A236" s="10">
        <v>46020</v>
      </c>
      <c r="B236" t="s">
        <v>19</v>
      </c>
      <c r="C236" t="s">
        <v>23</v>
      </c>
      <c r="D236" t="str">
        <f t="shared" si="9"/>
        <v>342856178236</v>
      </c>
      <c r="E236" t="str">
        <f t="shared" si="10"/>
        <v>Client236</v>
      </c>
      <c r="F236" t="str">
        <f t="shared" si="11"/>
        <v>BOB236</v>
      </c>
      <c r="G236" t="s">
        <v>24</v>
      </c>
      <c r="H236" t="s">
        <v>22</v>
      </c>
      <c r="I236" s="11">
        <v>0</v>
      </c>
      <c r="J236" s="11">
        <v>2901500</v>
      </c>
    </row>
    <row r="237" spans="1:10" x14ac:dyDescent="0.3">
      <c r="A237" s="10">
        <v>46020</v>
      </c>
      <c r="B237" t="s">
        <v>19</v>
      </c>
      <c r="C237" t="s">
        <v>23</v>
      </c>
      <c r="D237" t="str">
        <f t="shared" si="9"/>
        <v>342856178237</v>
      </c>
      <c r="E237" t="str">
        <f t="shared" si="10"/>
        <v>Client237</v>
      </c>
      <c r="F237" t="str">
        <f t="shared" si="11"/>
        <v>BOB237</v>
      </c>
      <c r="G237" t="s">
        <v>24</v>
      </c>
      <c r="H237" t="s">
        <v>22</v>
      </c>
      <c r="I237" s="11">
        <v>0</v>
      </c>
      <c r="J237" s="11">
        <v>2600000</v>
      </c>
    </row>
    <row r="238" spans="1:10" x14ac:dyDescent="0.3">
      <c r="A238" s="10">
        <v>46020</v>
      </c>
      <c r="B238" t="s">
        <v>19</v>
      </c>
      <c r="C238" t="s">
        <v>23</v>
      </c>
      <c r="D238" t="str">
        <f t="shared" si="9"/>
        <v>342856178238</v>
      </c>
      <c r="E238" t="str">
        <f t="shared" si="10"/>
        <v>Client238</v>
      </c>
      <c r="F238" t="str">
        <f t="shared" si="11"/>
        <v>BOB238</v>
      </c>
      <c r="G238" t="s">
        <v>24</v>
      </c>
      <c r="H238" t="s">
        <v>22</v>
      </c>
      <c r="I238" s="11">
        <v>0</v>
      </c>
      <c r="J238" s="11">
        <v>564000</v>
      </c>
    </row>
    <row r="239" spans="1:10" x14ac:dyDescent="0.3">
      <c r="A239" s="10">
        <v>46020</v>
      </c>
      <c r="B239" t="s">
        <v>19</v>
      </c>
      <c r="C239" t="s">
        <v>23</v>
      </c>
      <c r="D239" t="str">
        <f t="shared" si="9"/>
        <v>342856178239</v>
      </c>
      <c r="E239" t="str">
        <f t="shared" si="10"/>
        <v>Client239</v>
      </c>
      <c r="F239" t="str">
        <f t="shared" si="11"/>
        <v>BOB239</v>
      </c>
      <c r="G239" t="s">
        <v>24</v>
      </c>
      <c r="H239" t="s">
        <v>22</v>
      </c>
      <c r="I239" s="11">
        <v>0</v>
      </c>
      <c r="J239" s="11">
        <v>1987800</v>
      </c>
    </row>
    <row r="240" spans="1:10" x14ac:dyDescent="0.3">
      <c r="A240" s="10">
        <v>46020</v>
      </c>
      <c r="B240" t="s">
        <v>19</v>
      </c>
      <c r="C240" t="s">
        <v>23</v>
      </c>
      <c r="D240" t="str">
        <f t="shared" si="9"/>
        <v>342856178240</v>
      </c>
      <c r="E240" t="str">
        <f t="shared" si="10"/>
        <v>Client240</v>
      </c>
      <c r="F240" t="str">
        <f t="shared" si="11"/>
        <v>BOB240</v>
      </c>
      <c r="G240" t="s">
        <v>24</v>
      </c>
      <c r="H240" t="s">
        <v>22</v>
      </c>
      <c r="I240" s="11">
        <v>0</v>
      </c>
      <c r="J240" s="11">
        <v>1000000</v>
      </c>
    </row>
    <row r="241" spans="1:10" x14ac:dyDescent="0.3">
      <c r="A241" s="10">
        <v>46020</v>
      </c>
      <c r="B241" t="s">
        <v>19</v>
      </c>
      <c r="C241" t="s">
        <v>23</v>
      </c>
      <c r="D241" t="str">
        <f t="shared" si="9"/>
        <v>342856178241</v>
      </c>
      <c r="E241" t="str">
        <f t="shared" si="10"/>
        <v>Client241</v>
      </c>
      <c r="F241" t="str">
        <f t="shared" si="11"/>
        <v>BOB241</v>
      </c>
      <c r="G241" t="s">
        <v>24</v>
      </c>
      <c r="H241" t="s">
        <v>22</v>
      </c>
      <c r="I241" s="11">
        <v>0</v>
      </c>
      <c r="J241" s="11">
        <v>3000000</v>
      </c>
    </row>
    <row r="242" spans="1:10" x14ac:dyDescent="0.3">
      <c r="A242" s="10">
        <v>46020</v>
      </c>
      <c r="B242" t="s">
        <v>19</v>
      </c>
      <c r="C242" t="s">
        <v>23</v>
      </c>
      <c r="D242" t="str">
        <f t="shared" si="9"/>
        <v>342856178242</v>
      </c>
      <c r="E242" t="str">
        <f t="shared" si="10"/>
        <v>Client242</v>
      </c>
      <c r="F242" t="str">
        <f t="shared" si="11"/>
        <v>BOB242</v>
      </c>
      <c r="G242" t="s">
        <v>24</v>
      </c>
      <c r="H242" t="s">
        <v>22</v>
      </c>
      <c r="I242" s="11">
        <v>0</v>
      </c>
      <c r="J242" s="11">
        <v>2000000</v>
      </c>
    </row>
    <row r="243" spans="1:10" x14ac:dyDescent="0.3">
      <c r="A243" s="10">
        <v>46020</v>
      </c>
      <c r="B243" t="s">
        <v>19</v>
      </c>
      <c r="C243" t="s">
        <v>23</v>
      </c>
      <c r="D243" t="str">
        <f t="shared" si="9"/>
        <v>342856178243</v>
      </c>
      <c r="E243" t="str">
        <f t="shared" si="10"/>
        <v>Client243</v>
      </c>
      <c r="F243" t="str">
        <f t="shared" si="11"/>
        <v>BOB243</v>
      </c>
      <c r="G243" t="s">
        <v>24</v>
      </c>
      <c r="H243" t="s">
        <v>22</v>
      </c>
      <c r="I243" s="11">
        <v>0</v>
      </c>
      <c r="J243" s="11">
        <v>10588000</v>
      </c>
    </row>
    <row r="244" spans="1:10" x14ac:dyDescent="0.3">
      <c r="A244" s="10">
        <v>46020</v>
      </c>
      <c r="B244" t="s">
        <v>19</v>
      </c>
      <c r="C244" t="s">
        <v>23</v>
      </c>
      <c r="D244" t="str">
        <f t="shared" si="9"/>
        <v>342856178244</v>
      </c>
      <c r="E244" t="str">
        <f t="shared" si="10"/>
        <v>Client244</v>
      </c>
      <c r="F244" t="str">
        <f t="shared" si="11"/>
        <v>BOB244</v>
      </c>
      <c r="G244" t="s">
        <v>24</v>
      </c>
      <c r="H244" t="s">
        <v>22</v>
      </c>
      <c r="I244" s="11">
        <v>0</v>
      </c>
      <c r="J244" s="11">
        <v>6000000</v>
      </c>
    </row>
    <row r="245" spans="1:10" x14ac:dyDescent="0.3">
      <c r="A245" s="10">
        <v>46020</v>
      </c>
      <c r="B245" t="s">
        <v>19</v>
      </c>
      <c r="C245" t="s">
        <v>23</v>
      </c>
      <c r="D245" t="str">
        <f t="shared" si="9"/>
        <v>342856178245</v>
      </c>
      <c r="E245" t="str">
        <f t="shared" si="10"/>
        <v>Client245</v>
      </c>
      <c r="F245" t="str">
        <f t="shared" si="11"/>
        <v>BOB245</v>
      </c>
      <c r="G245" t="s">
        <v>24</v>
      </c>
      <c r="H245" t="s">
        <v>22</v>
      </c>
      <c r="I245" s="11">
        <v>0</v>
      </c>
      <c r="J245" s="11">
        <v>851500</v>
      </c>
    </row>
    <row r="246" spans="1:10" x14ac:dyDescent="0.3">
      <c r="A246" s="10">
        <v>46020</v>
      </c>
      <c r="B246" t="s">
        <v>19</v>
      </c>
      <c r="C246" t="s">
        <v>23</v>
      </c>
      <c r="D246" t="str">
        <f t="shared" si="9"/>
        <v>342856178246</v>
      </c>
      <c r="E246" t="str">
        <f t="shared" si="10"/>
        <v>Client246</v>
      </c>
      <c r="F246" t="str">
        <f t="shared" si="11"/>
        <v>BOB246</v>
      </c>
      <c r="G246" t="s">
        <v>24</v>
      </c>
      <c r="H246" t="s">
        <v>22</v>
      </c>
      <c r="I246" s="11">
        <v>0</v>
      </c>
      <c r="J246" s="11">
        <v>481500</v>
      </c>
    </row>
    <row r="247" spans="1:10" x14ac:dyDescent="0.3">
      <c r="A247" s="10">
        <v>46020</v>
      </c>
      <c r="B247" t="s">
        <v>19</v>
      </c>
      <c r="C247" t="s">
        <v>23</v>
      </c>
      <c r="D247" t="str">
        <f t="shared" si="9"/>
        <v>342856178247</v>
      </c>
      <c r="E247" t="str">
        <f t="shared" si="10"/>
        <v>Client247</v>
      </c>
      <c r="F247" t="str">
        <f t="shared" si="11"/>
        <v>BOB247</v>
      </c>
      <c r="G247" t="s">
        <v>24</v>
      </c>
      <c r="H247" t="s">
        <v>22</v>
      </c>
      <c r="I247" s="11">
        <v>0</v>
      </c>
      <c r="J247" s="11">
        <v>7000000</v>
      </c>
    </row>
    <row r="248" spans="1:10" x14ac:dyDescent="0.3">
      <c r="A248" s="10">
        <v>46020</v>
      </c>
      <c r="B248" t="s">
        <v>19</v>
      </c>
      <c r="C248" t="s">
        <v>23</v>
      </c>
      <c r="D248" t="str">
        <f t="shared" si="9"/>
        <v>342856178248</v>
      </c>
      <c r="E248" t="str">
        <f t="shared" si="10"/>
        <v>Client248</v>
      </c>
      <c r="F248" t="str">
        <f t="shared" si="11"/>
        <v>BOB248</v>
      </c>
      <c r="G248" t="s">
        <v>24</v>
      </c>
      <c r="H248" t="s">
        <v>22</v>
      </c>
      <c r="I248" s="11">
        <v>0</v>
      </c>
      <c r="J248" s="11">
        <v>201500</v>
      </c>
    </row>
    <row r="249" spans="1:10" x14ac:dyDescent="0.3">
      <c r="A249" s="10">
        <v>46020</v>
      </c>
      <c r="B249" t="s">
        <v>19</v>
      </c>
      <c r="C249" t="s">
        <v>46</v>
      </c>
      <c r="D249" t="str">
        <f t="shared" si="9"/>
        <v>342856178249</v>
      </c>
      <c r="E249" t="str">
        <f t="shared" si="10"/>
        <v>Client249</v>
      </c>
      <c r="F249" t="str">
        <f t="shared" si="11"/>
        <v>BOB249</v>
      </c>
      <c r="G249" t="s">
        <v>21</v>
      </c>
      <c r="H249" t="s">
        <v>22</v>
      </c>
      <c r="I249" s="11">
        <v>0</v>
      </c>
      <c r="J249" s="11">
        <v>1001500</v>
      </c>
    </row>
    <row r="250" spans="1:10" x14ac:dyDescent="0.3">
      <c r="A250" s="10">
        <v>46020</v>
      </c>
      <c r="B250" t="s">
        <v>19</v>
      </c>
      <c r="C250" t="s">
        <v>46</v>
      </c>
      <c r="D250" t="str">
        <f t="shared" si="9"/>
        <v>342856178250</v>
      </c>
      <c r="E250" t="str">
        <f t="shared" si="10"/>
        <v>Client250</v>
      </c>
      <c r="F250" t="str">
        <f t="shared" si="11"/>
        <v>BOB250</v>
      </c>
      <c r="G250" t="s">
        <v>21</v>
      </c>
      <c r="H250" t="s">
        <v>22</v>
      </c>
      <c r="I250" s="11">
        <v>0</v>
      </c>
      <c r="J250" s="11">
        <v>1001500</v>
      </c>
    </row>
    <row r="251" spans="1:10" x14ac:dyDescent="0.3">
      <c r="A251" s="10">
        <v>46020</v>
      </c>
      <c r="B251" t="s">
        <v>19</v>
      </c>
      <c r="C251" t="s">
        <v>37</v>
      </c>
      <c r="D251" t="str">
        <f t="shared" si="9"/>
        <v>342856178251</v>
      </c>
      <c r="E251" t="str">
        <f t="shared" si="10"/>
        <v>Client251</v>
      </c>
      <c r="F251" t="str">
        <f t="shared" si="11"/>
        <v>BOB251</v>
      </c>
      <c r="G251" t="s">
        <v>32</v>
      </c>
      <c r="H251" t="s">
        <v>22</v>
      </c>
      <c r="I251" s="11">
        <v>0</v>
      </c>
      <c r="J251" s="11">
        <v>350000</v>
      </c>
    </row>
    <row r="252" spans="1:10" x14ac:dyDescent="0.3">
      <c r="A252" s="10">
        <v>46020</v>
      </c>
      <c r="B252" t="s">
        <v>19</v>
      </c>
      <c r="C252" t="s">
        <v>45</v>
      </c>
      <c r="D252" t="str">
        <f t="shared" si="9"/>
        <v>342856178252</v>
      </c>
      <c r="E252" t="str">
        <f t="shared" si="10"/>
        <v>Client252</v>
      </c>
      <c r="F252" t="str">
        <f t="shared" si="11"/>
        <v>BOB252</v>
      </c>
      <c r="G252" t="s">
        <v>32</v>
      </c>
      <c r="H252" t="s">
        <v>22</v>
      </c>
      <c r="I252" s="11">
        <v>0</v>
      </c>
      <c r="J252" s="11">
        <v>6600000</v>
      </c>
    </row>
    <row r="253" spans="1:10" x14ac:dyDescent="0.3">
      <c r="A253" s="10">
        <v>46020</v>
      </c>
      <c r="B253" t="s">
        <v>19</v>
      </c>
      <c r="C253" t="s">
        <v>20</v>
      </c>
      <c r="D253" t="str">
        <f t="shared" si="9"/>
        <v>342856178253</v>
      </c>
      <c r="E253" t="str">
        <f t="shared" si="10"/>
        <v>Client253</v>
      </c>
      <c r="F253" t="str">
        <f t="shared" si="11"/>
        <v>BOB253</v>
      </c>
      <c r="G253" t="s">
        <v>21</v>
      </c>
      <c r="H253" t="s">
        <v>22</v>
      </c>
      <c r="I253" s="11">
        <v>0</v>
      </c>
      <c r="J253" s="11">
        <v>10015000</v>
      </c>
    </row>
    <row r="254" spans="1:10" x14ac:dyDescent="0.3">
      <c r="A254" s="10">
        <v>46020</v>
      </c>
      <c r="B254" t="s">
        <v>19</v>
      </c>
      <c r="C254" t="s">
        <v>36</v>
      </c>
      <c r="D254" t="str">
        <f t="shared" si="9"/>
        <v>342856178254</v>
      </c>
      <c r="E254" t="str">
        <f t="shared" si="10"/>
        <v>Client254</v>
      </c>
      <c r="F254" t="str">
        <f t="shared" si="11"/>
        <v>BOB254</v>
      </c>
      <c r="G254" t="s">
        <v>21</v>
      </c>
      <c r="H254" t="s">
        <v>22</v>
      </c>
      <c r="I254" s="11">
        <v>0</v>
      </c>
      <c r="J254" s="11">
        <v>6105000</v>
      </c>
    </row>
    <row r="255" spans="1:10" x14ac:dyDescent="0.3">
      <c r="A255" s="10">
        <v>46020</v>
      </c>
      <c r="B255" t="s">
        <v>19</v>
      </c>
      <c r="C255" t="s">
        <v>36</v>
      </c>
      <c r="D255" t="str">
        <f t="shared" si="9"/>
        <v>342856178255</v>
      </c>
      <c r="E255" t="str">
        <f t="shared" si="10"/>
        <v>Client255</v>
      </c>
      <c r="F255" t="str">
        <f t="shared" si="11"/>
        <v>BOB255</v>
      </c>
      <c r="G255" t="s">
        <v>21</v>
      </c>
      <c r="H255" t="s">
        <v>22</v>
      </c>
      <c r="I255" s="11">
        <v>0</v>
      </c>
      <c r="J255" s="11">
        <v>190000</v>
      </c>
    </row>
    <row r="256" spans="1:10" x14ac:dyDescent="0.3">
      <c r="A256" s="10">
        <v>46020</v>
      </c>
      <c r="B256" t="s">
        <v>19</v>
      </c>
      <c r="C256" t="s">
        <v>36</v>
      </c>
      <c r="D256" t="str">
        <f t="shared" si="9"/>
        <v>342856178256</v>
      </c>
      <c r="E256" t="str">
        <f t="shared" si="10"/>
        <v>Client256</v>
      </c>
      <c r="F256" t="str">
        <f t="shared" si="11"/>
        <v>BOB256</v>
      </c>
      <c r="G256" t="s">
        <v>21</v>
      </c>
      <c r="H256" t="s">
        <v>22</v>
      </c>
      <c r="I256" s="11">
        <v>0</v>
      </c>
      <c r="J256" s="11">
        <v>2000000</v>
      </c>
    </row>
    <row r="257" spans="1:10" x14ac:dyDescent="0.3">
      <c r="A257" s="10">
        <v>46020</v>
      </c>
      <c r="B257" t="s">
        <v>19</v>
      </c>
      <c r="C257" t="s">
        <v>36</v>
      </c>
      <c r="D257" t="str">
        <f t="shared" si="9"/>
        <v>342856178257</v>
      </c>
      <c r="E257" t="str">
        <f t="shared" si="10"/>
        <v>Client257</v>
      </c>
      <c r="F257" t="str">
        <f t="shared" si="11"/>
        <v>BOB257</v>
      </c>
      <c r="G257" t="s">
        <v>21</v>
      </c>
      <c r="H257" t="s">
        <v>22</v>
      </c>
      <c r="I257" s="11">
        <v>0</v>
      </c>
      <c r="J257" s="11">
        <v>8000000</v>
      </c>
    </row>
    <row r="258" spans="1:10" x14ac:dyDescent="0.3">
      <c r="A258" s="10">
        <v>46020</v>
      </c>
      <c r="B258" t="s">
        <v>19</v>
      </c>
      <c r="C258" t="s">
        <v>36</v>
      </c>
      <c r="D258" t="str">
        <f t="shared" ref="D258:D321" si="12" xml:space="preserve"> "342856178" &amp; ROW()</f>
        <v>342856178258</v>
      </c>
      <c r="E258" t="str">
        <f t="shared" si="10"/>
        <v>Client258</v>
      </c>
      <c r="F258" t="str">
        <f t="shared" si="11"/>
        <v>BOB258</v>
      </c>
      <c r="G258" t="s">
        <v>21</v>
      </c>
      <c r="H258" t="s">
        <v>22</v>
      </c>
      <c r="I258" s="11">
        <v>0</v>
      </c>
      <c r="J258" s="11">
        <v>440000</v>
      </c>
    </row>
    <row r="259" spans="1:10" x14ac:dyDescent="0.3">
      <c r="A259" s="10">
        <v>46020</v>
      </c>
      <c r="B259" t="s">
        <v>19</v>
      </c>
      <c r="C259" t="s">
        <v>36</v>
      </c>
      <c r="D259" t="str">
        <f t="shared" si="12"/>
        <v>342856178259</v>
      </c>
      <c r="E259" t="str">
        <f t="shared" ref="E259:E322" si="13">"Client"  &amp; ROW()</f>
        <v>Client259</v>
      </c>
      <c r="F259" t="str">
        <f t="shared" ref="F259:F322" si="14">"BOB"&amp;ROW()</f>
        <v>BOB259</v>
      </c>
      <c r="G259" t="s">
        <v>21</v>
      </c>
      <c r="H259" t="s">
        <v>22</v>
      </c>
      <c r="I259" s="11">
        <v>0</v>
      </c>
      <c r="J259" s="11">
        <v>14201500</v>
      </c>
    </row>
    <row r="260" spans="1:10" x14ac:dyDescent="0.3">
      <c r="A260" s="10">
        <v>46020</v>
      </c>
      <c r="B260" t="s">
        <v>19</v>
      </c>
      <c r="C260" t="s">
        <v>36</v>
      </c>
      <c r="D260" t="str">
        <f t="shared" si="12"/>
        <v>342856178260</v>
      </c>
      <c r="E260" t="str">
        <f t="shared" si="13"/>
        <v>Client260</v>
      </c>
      <c r="F260" t="str">
        <f t="shared" si="14"/>
        <v>BOB260</v>
      </c>
      <c r="G260" t="s">
        <v>21</v>
      </c>
      <c r="H260" t="s">
        <v>22</v>
      </c>
      <c r="I260" s="11">
        <v>0</v>
      </c>
      <c r="J260" s="11">
        <v>4000000</v>
      </c>
    </row>
    <row r="261" spans="1:10" x14ac:dyDescent="0.3">
      <c r="A261" s="10">
        <v>46020</v>
      </c>
      <c r="B261" t="s">
        <v>19</v>
      </c>
      <c r="C261" t="s">
        <v>36</v>
      </c>
      <c r="D261" t="str">
        <f t="shared" si="12"/>
        <v>342856178261</v>
      </c>
      <c r="E261" t="str">
        <f t="shared" si="13"/>
        <v>Client261</v>
      </c>
      <c r="F261" t="str">
        <f t="shared" si="14"/>
        <v>BOB261</v>
      </c>
      <c r="G261" t="s">
        <v>21</v>
      </c>
      <c r="H261" t="s">
        <v>22</v>
      </c>
      <c r="I261" s="11">
        <v>0</v>
      </c>
      <c r="J261" s="11">
        <v>576000</v>
      </c>
    </row>
    <row r="262" spans="1:10" x14ac:dyDescent="0.3">
      <c r="A262" s="10">
        <v>46020</v>
      </c>
      <c r="B262" t="s">
        <v>19</v>
      </c>
      <c r="C262" t="s">
        <v>36</v>
      </c>
      <c r="D262" t="str">
        <f t="shared" si="12"/>
        <v>342856178262</v>
      </c>
      <c r="E262" t="str">
        <f t="shared" si="13"/>
        <v>Client262</v>
      </c>
      <c r="F262" t="str">
        <f t="shared" si="14"/>
        <v>BOB262</v>
      </c>
      <c r="G262" t="s">
        <v>21</v>
      </c>
      <c r="H262" t="s">
        <v>22</v>
      </c>
      <c r="I262" s="11">
        <v>0</v>
      </c>
      <c r="J262" s="11">
        <v>3000000</v>
      </c>
    </row>
    <row r="263" spans="1:10" x14ac:dyDescent="0.3">
      <c r="A263" s="10">
        <v>46020</v>
      </c>
      <c r="B263" t="s">
        <v>19</v>
      </c>
      <c r="C263" t="s">
        <v>36</v>
      </c>
      <c r="D263" t="str">
        <f t="shared" si="12"/>
        <v>342856178263</v>
      </c>
      <c r="E263" t="str">
        <f t="shared" si="13"/>
        <v>Client263</v>
      </c>
      <c r="F263" t="str">
        <f t="shared" si="14"/>
        <v>BOB263</v>
      </c>
      <c r="G263" t="s">
        <v>21</v>
      </c>
      <c r="H263" t="s">
        <v>22</v>
      </c>
      <c r="I263" s="11">
        <v>0</v>
      </c>
      <c r="J263" s="11">
        <v>3400000</v>
      </c>
    </row>
    <row r="264" spans="1:10" x14ac:dyDescent="0.3">
      <c r="A264" s="10">
        <v>46020</v>
      </c>
      <c r="B264" t="s">
        <v>19</v>
      </c>
      <c r="C264" t="s">
        <v>36</v>
      </c>
      <c r="D264" t="str">
        <f t="shared" si="12"/>
        <v>342856178264</v>
      </c>
      <c r="E264" t="str">
        <f t="shared" si="13"/>
        <v>Client264</v>
      </c>
      <c r="F264" t="str">
        <f t="shared" si="14"/>
        <v>BOB264</v>
      </c>
      <c r="G264" t="s">
        <v>21</v>
      </c>
      <c r="H264" t="s">
        <v>22</v>
      </c>
      <c r="I264" s="11">
        <v>0</v>
      </c>
      <c r="J264" s="11">
        <v>4576000</v>
      </c>
    </row>
    <row r="265" spans="1:10" x14ac:dyDescent="0.3">
      <c r="A265" s="10">
        <v>46020</v>
      </c>
      <c r="B265" t="s">
        <v>19</v>
      </c>
      <c r="C265" t="s">
        <v>36</v>
      </c>
      <c r="D265" t="str">
        <f t="shared" si="12"/>
        <v>342856178265</v>
      </c>
      <c r="E265" t="str">
        <f t="shared" si="13"/>
        <v>Client265</v>
      </c>
      <c r="F265" t="str">
        <f t="shared" si="14"/>
        <v>BOB265</v>
      </c>
      <c r="G265" t="s">
        <v>21</v>
      </c>
      <c r="H265" t="s">
        <v>22</v>
      </c>
      <c r="I265" s="11">
        <v>0</v>
      </c>
      <c r="J265" s="11">
        <v>7000000</v>
      </c>
    </row>
    <row r="266" spans="1:10" x14ac:dyDescent="0.3">
      <c r="A266" s="10">
        <v>46020</v>
      </c>
      <c r="B266" t="s">
        <v>19</v>
      </c>
      <c r="C266" t="s">
        <v>47</v>
      </c>
      <c r="D266" t="str">
        <f t="shared" si="12"/>
        <v>342856178266</v>
      </c>
      <c r="E266" t="str">
        <f t="shared" si="13"/>
        <v>Client266</v>
      </c>
      <c r="F266" t="str">
        <f t="shared" si="14"/>
        <v>BOB266</v>
      </c>
      <c r="I266" s="11">
        <v>0</v>
      </c>
      <c r="J266" s="11">
        <v>500000</v>
      </c>
    </row>
    <row r="267" spans="1:10" x14ac:dyDescent="0.3">
      <c r="A267" s="10">
        <v>46020</v>
      </c>
      <c r="B267" t="s">
        <v>19</v>
      </c>
      <c r="C267" t="s">
        <v>47</v>
      </c>
      <c r="D267" t="str">
        <f t="shared" si="12"/>
        <v>342856178267</v>
      </c>
      <c r="E267" t="str">
        <f t="shared" si="13"/>
        <v>Client267</v>
      </c>
      <c r="F267" t="str">
        <f t="shared" si="14"/>
        <v>BOB267</v>
      </c>
      <c r="I267" s="11">
        <v>0</v>
      </c>
      <c r="J267" s="11">
        <v>2700000</v>
      </c>
    </row>
    <row r="268" spans="1:10" x14ac:dyDescent="0.3">
      <c r="A268" s="10">
        <v>46020</v>
      </c>
      <c r="B268" t="s">
        <v>19</v>
      </c>
      <c r="C268" t="s">
        <v>47</v>
      </c>
      <c r="D268" t="str">
        <f t="shared" si="12"/>
        <v>342856178268</v>
      </c>
      <c r="E268" t="str">
        <f t="shared" si="13"/>
        <v>Client268</v>
      </c>
      <c r="F268" t="str">
        <f t="shared" si="14"/>
        <v>BOB268</v>
      </c>
      <c r="I268" s="11">
        <v>0</v>
      </c>
      <c r="J268" s="11">
        <v>500000</v>
      </c>
    </row>
    <row r="269" spans="1:10" x14ac:dyDescent="0.3">
      <c r="A269" s="10">
        <v>46020</v>
      </c>
      <c r="B269" t="s">
        <v>19</v>
      </c>
      <c r="C269" t="s">
        <v>47</v>
      </c>
      <c r="D269" t="str">
        <f t="shared" si="12"/>
        <v>342856178269</v>
      </c>
      <c r="E269" t="str">
        <f t="shared" si="13"/>
        <v>Client269</v>
      </c>
      <c r="F269" t="str">
        <f t="shared" si="14"/>
        <v>BOB269</v>
      </c>
      <c r="I269" s="11">
        <v>0</v>
      </c>
      <c r="J269" s="11">
        <v>700000</v>
      </c>
    </row>
    <row r="270" spans="1:10" x14ac:dyDescent="0.3">
      <c r="A270" s="10">
        <v>46020</v>
      </c>
      <c r="B270" t="s">
        <v>19</v>
      </c>
      <c r="C270" t="s">
        <v>35</v>
      </c>
      <c r="D270" t="str">
        <f t="shared" si="12"/>
        <v>342856178270</v>
      </c>
      <c r="E270" t="str">
        <f t="shared" si="13"/>
        <v>Client270</v>
      </c>
      <c r="F270" t="str">
        <f t="shared" si="14"/>
        <v>BOB270</v>
      </c>
      <c r="G270" t="s">
        <v>24</v>
      </c>
      <c r="H270" t="s">
        <v>22</v>
      </c>
      <c r="I270" s="11">
        <v>0</v>
      </c>
      <c r="J270" s="11">
        <v>1001500</v>
      </c>
    </row>
    <row r="271" spans="1:10" x14ac:dyDescent="0.3">
      <c r="A271" s="10">
        <v>46020</v>
      </c>
      <c r="B271" t="s">
        <v>19</v>
      </c>
      <c r="C271" t="s">
        <v>35</v>
      </c>
      <c r="D271" t="str">
        <f t="shared" si="12"/>
        <v>342856178271</v>
      </c>
      <c r="E271" t="str">
        <f t="shared" si="13"/>
        <v>Client271</v>
      </c>
      <c r="F271" t="str">
        <f t="shared" si="14"/>
        <v>BOB271</v>
      </c>
      <c r="G271" t="s">
        <v>24</v>
      </c>
      <c r="H271" t="s">
        <v>22</v>
      </c>
      <c r="I271" s="11">
        <v>0</v>
      </c>
      <c r="J271" s="11">
        <v>3000000</v>
      </c>
    </row>
    <row r="272" spans="1:10" x14ac:dyDescent="0.3">
      <c r="A272" s="10">
        <v>46020</v>
      </c>
      <c r="B272" t="s">
        <v>19</v>
      </c>
      <c r="C272" t="s">
        <v>35</v>
      </c>
      <c r="D272" t="str">
        <f t="shared" si="12"/>
        <v>342856178272</v>
      </c>
      <c r="E272" t="str">
        <f t="shared" si="13"/>
        <v>Client272</v>
      </c>
      <c r="F272" t="str">
        <f t="shared" si="14"/>
        <v>BOB272</v>
      </c>
      <c r="G272" t="s">
        <v>24</v>
      </c>
      <c r="H272" t="s">
        <v>22</v>
      </c>
      <c r="I272" s="11">
        <v>0</v>
      </c>
      <c r="J272" s="11">
        <v>2003000</v>
      </c>
    </row>
    <row r="273" spans="1:10" x14ac:dyDescent="0.3">
      <c r="A273" s="10">
        <v>46020</v>
      </c>
      <c r="B273" t="s">
        <v>19</v>
      </c>
      <c r="C273" t="s">
        <v>35</v>
      </c>
      <c r="D273" t="str">
        <f t="shared" si="12"/>
        <v>342856178273</v>
      </c>
      <c r="E273" t="str">
        <f t="shared" si="13"/>
        <v>Client273</v>
      </c>
      <c r="F273" t="str">
        <f t="shared" si="14"/>
        <v>BOB273</v>
      </c>
      <c r="G273" t="s">
        <v>24</v>
      </c>
      <c r="H273" t="s">
        <v>22</v>
      </c>
      <c r="I273" s="11">
        <v>0</v>
      </c>
      <c r="J273" s="11">
        <v>2000000</v>
      </c>
    </row>
    <row r="274" spans="1:10" x14ac:dyDescent="0.3">
      <c r="A274" s="10">
        <v>46020</v>
      </c>
      <c r="B274" t="s">
        <v>19</v>
      </c>
      <c r="C274" t="s">
        <v>35</v>
      </c>
      <c r="D274" t="str">
        <f t="shared" si="12"/>
        <v>342856178274</v>
      </c>
      <c r="E274" t="str">
        <f t="shared" si="13"/>
        <v>Client274</v>
      </c>
      <c r="F274" t="str">
        <f t="shared" si="14"/>
        <v>BOB274</v>
      </c>
      <c r="G274" t="s">
        <v>24</v>
      </c>
      <c r="H274" t="s">
        <v>22</v>
      </c>
      <c r="I274" s="11">
        <v>0</v>
      </c>
      <c r="J274" s="11">
        <v>1500000</v>
      </c>
    </row>
    <row r="275" spans="1:10" x14ac:dyDescent="0.3">
      <c r="A275" s="10">
        <v>46020</v>
      </c>
      <c r="B275" t="s">
        <v>19</v>
      </c>
      <c r="C275" t="s">
        <v>35</v>
      </c>
      <c r="D275" t="str">
        <f t="shared" si="12"/>
        <v>342856178275</v>
      </c>
      <c r="E275" t="str">
        <f t="shared" si="13"/>
        <v>Client275</v>
      </c>
      <c r="F275" t="str">
        <f t="shared" si="14"/>
        <v>BOB275</v>
      </c>
      <c r="G275" t="s">
        <v>24</v>
      </c>
      <c r="H275" t="s">
        <v>22</v>
      </c>
      <c r="I275" s="11">
        <v>0</v>
      </c>
      <c r="J275" s="11">
        <v>2700000</v>
      </c>
    </row>
    <row r="276" spans="1:10" x14ac:dyDescent="0.3">
      <c r="A276" s="10">
        <v>46020</v>
      </c>
      <c r="B276" t="s">
        <v>19</v>
      </c>
      <c r="C276" t="s">
        <v>35</v>
      </c>
      <c r="D276" t="str">
        <f t="shared" si="12"/>
        <v>342856178276</v>
      </c>
      <c r="E276" t="str">
        <f t="shared" si="13"/>
        <v>Client276</v>
      </c>
      <c r="F276" t="str">
        <f t="shared" si="14"/>
        <v>BOB276</v>
      </c>
      <c r="G276" t="s">
        <v>24</v>
      </c>
      <c r="H276" t="s">
        <v>22</v>
      </c>
      <c r="I276" s="11">
        <v>0</v>
      </c>
      <c r="J276" s="11">
        <v>4006000</v>
      </c>
    </row>
    <row r="277" spans="1:10" x14ac:dyDescent="0.3">
      <c r="A277" s="10">
        <v>46020</v>
      </c>
      <c r="B277" t="s">
        <v>19</v>
      </c>
      <c r="C277" t="s">
        <v>35</v>
      </c>
      <c r="D277" t="str">
        <f t="shared" si="12"/>
        <v>342856178277</v>
      </c>
      <c r="E277" t="str">
        <f t="shared" si="13"/>
        <v>Client277</v>
      </c>
      <c r="F277" t="str">
        <f t="shared" si="14"/>
        <v>BOB277</v>
      </c>
      <c r="G277" t="s">
        <v>24</v>
      </c>
      <c r="H277" t="s">
        <v>22</v>
      </c>
      <c r="I277" s="11">
        <v>0</v>
      </c>
      <c r="J277" s="11">
        <v>2003000</v>
      </c>
    </row>
    <row r="278" spans="1:10" x14ac:dyDescent="0.3">
      <c r="A278" s="10">
        <v>46020</v>
      </c>
      <c r="B278" t="s">
        <v>19</v>
      </c>
      <c r="C278" t="s">
        <v>35</v>
      </c>
      <c r="D278" t="str">
        <f t="shared" si="12"/>
        <v>342856178278</v>
      </c>
      <c r="E278" t="str">
        <f t="shared" si="13"/>
        <v>Client278</v>
      </c>
      <c r="F278" t="str">
        <f t="shared" si="14"/>
        <v>BOB278</v>
      </c>
      <c r="G278" t="s">
        <v>24</v>
      </c>
      <c r="H278" t="s">
        <v>22</v>
      </c>
      <c r="I278" s="11">
        <v>0</v>
      </c>
      <c r="J278" s="11">
        <v>3004500</v>
      </c>
    </row>
    <row r="279" spans="1:10" x14ac:dyDescent="0.3">
      <c r="A279" s="10">
        <v>46020</v>
      </c>
      <c r="B279" t="s">
        <v>19</v>
      </c>
      <c r="C279" t="s">
        <v>35</v>
      </c>
      <c r="D279" t="str">
        <f t="shared" si="12"/>
        <v>342856178279</v>
      </c>
      <c r="E279" t="str">
        <f t="shared" si="13"/>
        <v>Client279</v>
      </c>
      <c r="F279" t="str">
        <f t="shared" si="14"/>
        <v>BOB279</v>
      </c>
      <c r="G279" t="s">
        <v>24</v>
      </c>
      <c r="H279" t="s">
        <v>22</v>
      </c>
      <c r="I279" s="11">
        <v>0</v>
      </c>
      <c r="J279" s="11">
        <v>2204500</v>
      </c>
    </row>
    <row r="280" spans="1:10" x14ac:dyDescent="0.3">
      <c r="A280" s="10">
        <v>46020</v>
      </c>
      <c r="B280" t="s">
        <v>19</v>
      </c>
      <c r="C280" t="s">
        <v>35</v>
      </c>
      <c r="D280" t="str">
        <f t="shared" si="12"/>
        <v>342856178280</v>
      </c>
      <c r="E280" t="str">
        <f t="shared" si="13"/>
        <v>Client280</v>
      </c>
      <c r="F280" t="str">
        <f t="shared" si="14"/>
        <v>BOB280</v>
      </c>
      <c r="G280" t="s">
        <v>24</v>
      </c>
      <c r="H280" t="s">
        <v>22</v>
      </c>
      <c r="I280" s="11">
        <v>0</v>
      </c>
      <c r="J280" s="11">
        <v>10015000</v>
      </c>
    </row>
    <row r="281" spans="1:10" x14ac:dyDescent="0.3">
      <c r="A281" s="10">
        <v>46020</v>
      </c>
      <c r="B281" t="s">
        <v>19</v>
      </c>
      <c r="C281" t="s">
        <v>35</v>
      </c>
      <c r="D281" t="str">
        <f t="shared" si="12"/>
        <v>342856178281</v>
      </c>
      <c r="E281" t="str">
        <f t="shared" si="13"/>
        <v>Client281</v>
      </c>
      <c r="F281" t="str">
        <f t="shared" si="14"/>
        <v>BOB281</v>
      </c>
      <c r="G281" t="s">
        <v>24</v>
      </c>
      <c r="H281" t="s">
        <v>22</v>
      </c>
      <c r="I281" s="11">
        <v>0</v>
      </c>
      <c r="J281" s="11">
        <v>3004500</v>
      </c>
    </row>
    <row r="282" spans="1:10" x14ac:dyDescent="0.3">
      <c r="A282" s="10">
        <v>46020</v>
      </c>
      <c r="B282" t="s">
        <v>19</v>
      </c>
      <c r="C282" t="s">
        <v>35</v>
      </c>
      <c r="D282" t="str">
        <f t="shared" si="12"/>
        <v>342856178282</v>
      </c>
      <c r="E282" t="str">
        <f t="shared" si="13"/>
        <v>Client282</v>
      </c>
      <c r="F282" t="str">
        <f t="shared" si="14"/>
        <v>BOB282</v>
      </c>
      <c r="G282" t="s">
        <v>24</v>
      </c>
      <c r="H282" t="s">
        <v>22</v>
      </c>
      <c r="I282" s="11">
        <v>0</v>
      </c>
      <c r="J282" s="11">
        <v>500000</v>
      </c>
    </row>
    <row r="283" spans="1:10" x14ac:dyDescent="0.3">
      <c r="A283" s="10">
        <v>46020</v>
      </c>
      <c r="B283" t="s">
        <v>19</v>
      </c>
      <c r="C283" t="s">
        <v>35</v>
      </c>
      <c r="D283" t="str">
        <f t="shared" si="12"/>
        <v>342856178283</v>
      </c>
      <c r="E283" t="str">
        <f t="shared" si="13"/>
        <v>Client283</v>
      </c>
      <c r="F283" t="str">
        <f t="shared" si="14"/>
        <v>BOB283</v>
      </c>
      <c r="G283" t="s">
        <v>24</v>
      </c>
      <c r="H283" t="s">
        <v>22</v>
      </c>
      <c r="I283" s="11">
        <v>0</v>
      </c>
      <c r="J283" s="11">
        <v>2003000</v>
      </c>
    </row>
    <row r="284" spans="1:10" x14ac:dyDescent="0.3">
      <c r="A284" s="10">
        <v>46020</v>
      </c>
      <c r="B284" t="s">
        <v>19</v>
      </c>
      <c r="C284" t="s">
        <v>35</v>
      </c>
      <c r="D284" t="str">
        <f t="shared" si="12"/>
        <v>342856178284</v>
      </c>
      <c r="E284" t="str">
        <f t="shared" si="13"/>
        <v>Client284</v>
      </c>
      <c r="F284" t="str">
        <f t="shared" si="14"/>
        <v>BOB284</v>
      </c>
      <c r="G284" t="s">
        <v>24</v>
      </c>
      <c r="H284" t="s">
        <v>22</v>
      </c>
      <c r="I284" s="11">
        <v>0</v>
      </c>
      <c r="J284" s="11">
        <v>2000000</v>
      </c>
    </row>
    <row r="285" spans="1:10" x14ac:dyDescent="0.3">
      <c r="A285" s="10">
        <v>46020</v>
      </c>
      <c r="B285" t="s">
        <v>19</v>
      </c>
      <c r="C285" t="s">
        <v>35</v>
      </c>
      <c r="D285" t="str">
        <f t="shared" si="12"/>
        <v>342856178285</v>
      </c>
      <c r="E285" t="str">
        <f t="shared" si="13"/>
        <v>Client285</v>
      </c>
      <c r="F285" t="str">
        <f t="shared" si="14"/>
        <v>BOB285</v>
      </c>
      <c r="G285" t="s">
        <v>24</v>
      </c>
      <c r="H285" t="s">
        <v>22</v>
      </c>
      <c r="I285" s="11">
        <v>0</v>
      </c>
      <c r="J285" s="11">
        <v>10016500</v>
      </c>
    </row>
    <row r="286" spans="1:10" x14ac:dyDescent="0.3">
      <c r="A286" s="10">
        <v>46020</v>
      </c>
      <c r="B286" t="s">
        <v>19</v>
      </c>
      <c r="C286" t="s">
        <v>35</v>
      </c>
      <c r="D286" t="str">
        <f t="shared" si="12"/>
        <v>342856178286</v>
      </c>
      <c r="E286" t="str">
        <f t="shared" si="13"/>
        <v>Client286</v>
      </c>
      <c r="F286" t="str">
        <f t="shared" si="14"/>
        <v>BOB286</v>
      </c>
      <c r="G286" t="s">
        <v>24</v>
      </c>
      <c r="H286" t="s">
        <v>22</v>
      </c>
      <c r="I286" s="11">
        <v>0</v>
      </c>
      <c r="J286" s="11">
        <v>3000000</v>
      </c>
    </row>
    <row r="287" spans="1:10" x14ac:dyDescent="0.3">
      <c r="A287" s="10">
        <v>46020</v>
      </c>
      <c r="B287" t="s">
        <v>19</v>
      </c>
      <c r="C287" t="s">
        <v>35</v>
      </c>
      <c r="D287" t="str">
        <f t="shared" si="12"/>
        <v>342856178287</v>
      </c>
      <c r="E287" t="str">
        <f t="shared" si="13"/>
        <v>Client287</v>
      </c>
      <c r="F287" t="str">
        <f t="shared" si="14"/>
        <v>BOB287</v>
      </c>
      <c r="G287" t="s">
        <v>24</v>
      </c>
      <c r="H287" t="s">
        <v>22</v>
      </c>
      <c r="I287" s="11">
        <v>0</v>
      </c>
      <c r="J287" s="11">
        <v>2803000</v>
      </c>
    </row>
    <row r="288" spans="1:10" x14ac:dyDescent="0.3">
      <c r="A288" s="10">
        <v>46020</v>
      </c>
      <c r="B288" t="s">
        <v>19</v>
      </c>
      <c r="C288" t="s">
        <v>35</v>
      </c>
      <c r="D288" t="str">
        <f t="shared" si="12"/>
        <v>342856178288</v>
      </c>
      <c r="E288" t="str">
        <f t="shared" si="13"/>
        <v>Client288</v>
      </c>
      <c r="F288" t="str">
        <f t="shared" si="14"/>
        <v>BOB288</v>
      </c>
      <c r="G288" t="s">
        <v>24</v>
      </c>
      <c r="H288" t="s">
        <v>22</v>
      </c>
      <c r="I288" s="11">
        <v>0</v>
      </c>
      <c r="J288" s="11">
        <v>401500</v>
      </c>
    </row>
    <row r="289" spans="1:10" x14ac:dyDescent="0.3">
      <c r="A289" s="10">
        <v>46020</v>
      </c>
      <c r="B289" t="s">
        <v>19</v>
      </c>
      <c r="C289" t="s">
        <v>35</v>
      </c>
      <c r="D289" t="str">
        <f t="shared" si="12"/>
        <v>342856178289</v>
      </c>
      <c r="E289" t="str">
        <f t="shared" si="13"/>
        <v>Client289</v>
      </c>
      <c r="F289" t="str">
        <f t="shared" si="14"/>
        <v>BOB289</v>
      </c>
      <c r="G289" t="s">
        <v>24</v>
      </c>
      <c r="H289" t="s">
        <v>22</v>
      </c>
      <c r="I289" s="11">
        <v>0</v>
      </c>
      <c r="J289" s="11">
        <v>2003000</v>
      </c>
    </row>
    <row r="290" spans="1:10" x14ac:dyDescent="0.3">
      <c r="A290" s="10">
        <v>46020</v>
      </c>
      <c r="B290" t="s">
        <v>19</v>
      </c>
      <c r="C290" t="s">
        <v>35</v>
      </c>
      <c r="D290" t="str">
        <f t="shared" si="12"/>
        <v>342856178290</v>
      </c>
      <c r="E290" t="str">
        <f t="shared" si="13"/>
        <v>Client290</v>
      </c>
      <c r="F290" t="str">
        <f t="shared" si="14"/>
        <v>BOB290</v>
      </c>
      <c r="G290" t="s">
        <v>24</v>
      </c>
      <c r="H290" t="s">
        <v>22</v>
      </c>
      <c r="I290" s="11">
        <v>0</v>
      </c>
      <c r="J290" s="11">
        <v>4000000</v>
      </c>
    </row>
    <row r="291" spans="1:10" x14ac:dyDescent="0.3">
      <c r="A291" s="10">
        <v>46020</v>
      </c>
      <c r="B291" t="s">
        <v>19</v>
      </c>
      <c r="C291" t="s">
        <v>35</v>
      </c>
      <c r="D291" t="str">
        <f t="shared" si="12"/>
        <v>342856178291</v>
      </c>
      <c r="E291" t="str">
        <f t="shared" si="13"/>
        <v>Client291</v>
      </c>
      <c r="F291" t="str">
        <f t="shared" si="14"/>
        <v>BOB291</v>
      </c>
      <c r="G291" t="s">
        <v>24</v>
      </c>
      <c r="H291" t="s">
        <v>22</v>
      </c>
      <c r="I291" s="11">
        <v>0</v>
      </c>
      <c r="J291" s="11">
        <v>3004500</v>
      </c>
    </row>
    <row r="292" spans="1:10" x14ac:dyDescent="0.3">
      <c r="A292" s="10">
        <v>46020</v>
      </c>
      <c r="B292" t="s">
        <v>19</v>
      </c>
      <c r="C292" t="s">
        <v>35</v>
      </c>
      <c r="D292" t="str">
        <f t="shared" si="12"/>
        <v>342856178292</v>
      </c>
      <c r="E292" t="str">
        <f t="shared" si="13"/>
        <v>Client292</v>
      </c>
      <c r="F292" t="str">
        <f t="shared" si="14"/>
        <v>BOB292</v>
      </c>
      <c r="G292" t="s">
        <v>24</v>
      </c>
      <c r="H292" t="s">
        <v>22</v>
      </c>
      <c r="I292" s="11">
        <v>0</v>
      </c>
      <c r="J292" s="11">
        <v>400000</v>
      </c>
    </row>
    <row r="293" spans="1:10" x14ac:dyDescent="0.3">
      <c r="A293" s="10">
        <v>46020</v>
      </c>
      <c r="B293" t="s">
        <v>19</v>
      </c>
      <c r="C293" t="s">
        <v>35</v>
      </c>
      <c r="D293" t="str">
        <f t="shared" si="12"/>
        <v>342856178293</v>
      </c>
      <c r="E293" t="str">
        <f t="shared" si="13"/>
        <v>Client293</v>
      </c>
      <c r="F293" t="str">
        <f t="shared" si="14"/>
        <v>BOB293</v>
      </c>
      <c r="G293" t="s">
        <v>24</v>
      </c>
      <c r="H293" t="s">
        <v>22</v>
      </c>
      <c r="I293" s="11">
        <v>0</v>
      </c>
      <c r="J293" s="11">
        <v>1000000</v>
      </c>
    </row>
    <row r="294" spans="1:10" x14ac:dyDescent="0.3">
      <c r="A294" s="10">
        <v>46020</v>
      </c>
      <c r="B294" t="s">
        <v>19</v>
      </c>
      <c r="C294" t="s">
        <v>35</v>
      </c>
      <c r="D294" t="str">
        <f t="shared" si="12"/>
        <v>342856178294</v>
      </c>
      <c r="E294" t="str">
        <f t="shared" si="13"/>
        <v>Client294</v>
      </c>
      <c r="F294" t="str">
        <f t="shared" si="14"/>
        <v>BOB294</v>
      </c>
      <c r="G294" t="s">
        <v>24</v>
      </c>
      <c r="H294" t="s">
        <v>22</v>
      </c>
      <c r="I294" s="11">
        <v>0</v>
      </c>
      <c r="J294" s="11">
        <v>3900000</v>
      </c>
    </row>
    <row r="295" spans="1:10" x14ac:dyDescent="0.3">
      <c r="A295" s="10">
        <v>46020</v>
      </c>
      <c r="B295" t="s">
        <v>19</v>
      </c>
      <c r="C295" t="s">
        <v>35</v>
      </c>
      <c r="D295" t="str">
        <f t="shared" si="12"/>
        <v>342856178295</v>
      </c>
      <c r="E295" t="str">
        <f t="shared" si="13"/>
        <v>Client295</v>
      </c>
      <c r="F295" t="str">
        <f t="shared" si="14"/>
        <v>BOB295</v>
      </c>
      <c r="G295" t="s">
        <v>24</v>
      </c>
      <c r="H295" t="s">
        <v>22</v>
      </c>
      <c r="I295" s="11">
        <v>0</v>
      </c>
      <c r="J295" s="11">
        <v>2350000</v>
      </c>
    </row>
    <row r="296" spans="1:10" x14ac:dyDescent="0.3">
      <c r="A296" s="10">
        <v>46020</v>
      </c>
      <c r="B296" t="s">
        <v>19</v>
      </c>
      <c r="C296" t="s">
        <v>35</v>
      </c>
      <c r="D296" t="str">
        <f t="shared" si="12"/>
        <v>342856178296</v>
      </c>
      <c r="E296" t="str">
        <f t="shared" si="13"/>
        <v>Client296</v>
      </c>
      <c r="F296" t="str">
        <f t="shared" si="14"/>
        <v>BOB296</v>
      </c>
      <c r="G296" t="s">
        <v>24</v>
      </c>
      <c r="H296" t="s">
        <v>22</v>
      </c>
      <c r="I296" s="11">
        <v>0</v>
      </c>
      <c r="J296" s="11">
        <v>1403000</v>
      </c>
    </row>
    <row r="297" spans="1:10" x14ac:dyDescent="0.3">
      <c r="A297" s="10">
        <v>46020</v>
      </c>
      <c r="B297" t="s">
        <v>19</v>
      </c>
      <c r="C297" t="s">
        <v>35</v>
      </c>
      <c r="D297" t="str">
        <f t="shared" si="12"/>
        <v>342856178297</v>
      </c>
      <c r="E297" t="str">
        <f t="shared" si="13"/>
        <v>Client297</v>
      </c>
      <c r="F297" t="str">
        <f t="shared" si="14"/>
        <v>BOB297</v>
      </c>
      <c r="G297" t="s">
        <v>24</v>
      </c>
      <c r="H297" t="s">
        <v>22</v>
      </c>
      <c r="I297" s="11">
        <v>0</v>
      </c>
      <c r="J297" s="11">
        <v>1550000</v>
      </c>
    </row>
    <row r="298" spans="1:10" x14ac:dyDescent="0.3">
      <c r="A298" s="10">
        <v>46020</v>
      </c>
      <c r="B298" t="s">
        <v>19</v>
      </c>
      <c r="C298" t="s">
        <v>35</v>
      </c>
      <c r="D298" t="str">
        <f t="shared" si="12"/>
        <v>342856178298</v>
      </c>
      <c r="E298" t="str">
        <f t="shared" si="13"/>
        <v>Client298</v>
      </c>
      <c r="F298" t="str">
        <f t="shared" si="14"/>
        <v>BOB298</v>
      </c>
      <c r="G298" t="s">
        <v>24</v>
      </c>
      <c r="H298" t="s">
        <v>22</v>
      </c>
      <c r="I298" s="11">
        <v>0</v>
      </c>
      <c r="J298" s="11">
        <v>600000</v>
      </c>
    </row>
    <row r="299" spans="1:10" x14ac:dyDescent="0.3">
      <c r="A299" s="10">
        <v>46020</v>
      </c>
      <c r="B299" t="s">
        <v>19</v>
      </c>
      <c r="C299" t="s">
        <v>35</v>
      </c>
      <c r="D299" t="str">
        <f t="shared" si="12"/>
        <v>342856178299</v>
      </c>
      <c r="E299" t="str">
        <f t="shared" si="13"/>
        <v>Client299</v>
      </c>
      <c r="F299" t="str">
        <f t="shared" si="14"/>
        <v>BOB299</v>
      </c>
      <c r="G299" t="s">
        <v>24</v>
      </c>
      <c r="H299" t="s">
        <v>22</v>
      </c>
      <c r="I299" s="11">
        <v>0</v>
      </c>
      <c r="J299" s="11">
        <v>1001500</v>
      </c>
    </row>
    <row r="300" spans="1:10" x14ac:dyDescent="0.3">
      <c r="A300" s="10">
        <v>46020</v>
      </c>
      <c r="B300" t="s">
        <v>19</v>
      </c>
      <c r="C300" t="s">
        <v>35</v>
      </c>
      <c r="D300" t="str">
        <f t="shared" si="12"/>
        <v>342856178300</v>
      </c>
      <c r="E300" t="str">
        <f t="shared" si="13"/>
        <v>Client300</v>
      </c>
      <c r="F300" t="str">
        <f t="shared" si="14"/>
        <v>BOB300</v>
      </c>
      <c r="G300" t="s">
        <v>24</v>
      </c>
      <c r="H300" t="s">
        <v>22</v>
      </c>
      <c r="I300" s="11">
        <v>0</v>
      </c>
      <c r="J300" s="11">
        <v>5804500</v>
      </c>
    </row>
    <row r="301" spans="1:10" x14ac:dyDescent="0.3">
      <c r="A301" s="10">
        <v>46020</v>
      </c>
      <c r="B301" t="s">
        <v>19</v>
      </c>
      <c r="C301" t="s">
        <v>35</v>
      </c>
      <c r="D301" t="str">
        <f t="shared" si="12"/>
        <v>342856178301</v>
      </c>
      <c r="E301" t="str">
        <f t="shared" si="13"/>
        <v>Client301</v>
      </c>
      <c r="F301" t="str">
        <f t="shared" si="14"/>
        <v>BOB301</v>
      </c>
      <c r="G301" t="s">
        <v>24</v>
      </c>
      <c r="H301" t="s">
        <v>22</v>
      </c>
      <c r="I301" s="11">
        <v>0</v>
      </c>
      <c r="J301" s="11">
        <v>2290000</v>
      </c>
    </row>
    <row r="302" spans="1:10" x14ac:dyDescent="0.3">
      <c r="A302" s="10">
        <v>46020</v>
      </c>
      <c r="B302" t="s">
        <v>19</v>
      </c>
      <c r="C302" t="s">
        <v>35</v>
      </c>
      <c r="D302" t="str">
        <f t="shared" si="12"/>
        <v>342856178302</v>
      </c>
      <c r="E302" t="str">
        <f t="shared" si="13"/>
        <v>Client302</v>
      </c>
      <c r="F302" t="str">
        <f t="shared" si="14"/>
        <v>BOB302</v>
      </c>
      <c r="G302" t="s">
        <v>24</v>
      </c>
      <c r="H302" t="s">
        <v>22</v>
      </c>
      <c r="I302" s="11">
        <v>0</v>
      </c>
      <c r="J302" s="11">
        <v>2580000</v>
      </c>
    </row>
    <row r="303" spans="1:10" x14ac:dyDescent="0.3">
      <c r="A303" s="10">
        <v>46020</v>
      </c>
      <c r="B303" t="s">
        <v>19</v>
      </c>
      <c r="C303" t="s">
        <v>35</v>
      </c>
      <c r="D303" t="str">
        <f t="shared" si="12"/>
        <v>342856178303</v>
      </c>
      <c r="E303" t="str">
        <f t="shared" si="13"/>
        <v>Client303</v>
      </c>
      <c r="F303" t="str">
        <f t="shared" si="14"/>
        <v>BOB303</v>
      </c>
      <c r="G303" t="s">
        <v>24</v>
      </c>
      <c r="H303" t="s">
        <v>22</v>
      </c>
      <c r="I303" s="11">
        <v>0</v>
      </c>
      <c r="J303" s="11">
        <v>3300000</v>
      </c>
    </row>
    <row r="304" spans="1:10" x14ac:dyDescent="0.3">
      <c r="A304" s="10">
        <v>46020</v>
      </c>
      <c r="B304" t="s">
        <v>19</v>
      </c>
      <c r="C304" t="s">
        <v>35</v>
      </c>
      <c r="D304" t="str">
        <f t="shared" si="12"/>
        <v>342856178304</v>
      </c>
      <c r="E304" t="str">
        <f t="shared" si="13"/>
        <v>Client304</v>
      </c>
      <c r="F304" t="str">
        <f t="shared" si="14"/>
        <v>BOB304</v>
      </c>
      <c r="G304" t="s">
        <v>24</v>
      </c>
      <c r="H304" t="s">
        <v>22</v>
      </c>
      <c r="I304" s="11">
        <v>0</v>
      </c>
      <c r="J304" s="11">
        <v>2000000</v>
      </c>
    </row>
    <row r="305" spans="1:10" x14ac:dyDescent="0.3">
      <c r="A305" s="10">
        <v>46020</v>
      </c>
      <c r="B305" t="s">
        <v>19</v>
      </c>
      <c r="C305" t="s">
        <v>35</v>
      </c>
      <c r="D305" t="str">
        <f t="shared" si="12"/>
        <v>342856178305</v>
      </c>
      <c r="E305" t="str">
        <f t="shared" si="13"/>
        <v>Client305</v>
      </c>
      <c r="F305" t="str">
        <f t="shared" si="14"/>
        <v>BOB305</v>
      </c>
      <c r="G305" t="s">
        <v>24</v>
      </c>
      <c r="H305" t="s">
        <v>22</v>
      </c>
      <c r="I305" s="11">
        <v>0</v>
      </c>
      <c r="J305" s="11">
        <v>5000000</v>
      </c>
    </row>
    <row r="306" spans="1:10" x14ac:dyDescent="0.3">
      <c r="A306" s="10">
        <v>46020</v>
      </c>
      <c r="B306" t="s">
        <v>19</v>
      </c>
      <c r="C306" t="s">
        <v>35</v>
      </c>
      <c r="D306" t="str">
        <f t="shared" si="12"/>
        <v>342856178306</v>
      </c>
      <c r="E306" t="str">
        <f t="shared" si="13"/>
        <v>Client306</v>
      </c>
      <c r="F306" t="str">
        <f t="shared" si="14"/>
        <v>BOB306</v>
      </c>
      <c r="G306" t="s">
        <v>24</v>
      </c>
      <c r="H306" t="s">
        <v>22</v>
      </c>
      <c r="I306" s="11">
        <v>0</v>
      </c>
      <c r="J306" s="11">
        <v>100000</v>
      </c>
    </row>
    <row r="307" spans="1:10" x14ac:dyDescent="0.3">
      <c r="A307" s="10">
        <v>46020</v>
      </c>
      <c r="B307" t="s">
        <v>19</v>
      </c>
      <c r="C307" t="s">
        <v>35</v>
      </c>
      <c r="D307" t="str">
        <f t="shared" si="12"/>
        <v>342856178307</v>
      </c>
      <c r="E307" t="str">
        <f t="shared" si="13"/>
        <v>Client307</v>
      </c>
      <c r="F307" t="str">
        <f t="shared" si="14"/>
        <v>BOB307</v>
      </c>
      <c r="G307" t="s">
        <v>24</v>
      </c>
      <c r="H307" t="s">
        <v>22</v>
      </c>
      <c r="I307" s="11">
        <v>0</v>
      </c>
      <c r="J307" s="11">
        <v>3500000</v>
      </c>
    </row>
    <row r="308" spans="1:10" x14ac:dyDescent="0.3">
      <c r="A308" s="10">
        <v>46020</v>
      </c>
      <c r="B308" t="s">
        <v>19</v>
      </c>
      <c r="C308" t="s">
        <v>31</v>
      </c>
      <c r="D308" t="str">
        <f t="shared" si="12"/>
        <v>342856178308</v>
      </c>
      <c r="E308" t="str">
        <f t="shared" si="13"/>
        <v>Client308</v>
      </c>
      <c r="F308" t="str">
        <f t="shared" si="14"/>
        <v>BOB308</v>
      </c>
      <c r="G308" t="s">
        <v>32</v>
      </c>
      <c r="H308" t="s">
        <v>22</v>
      </c>
      <c r="I308" s="11">
        <v>0</v>
      </c>
      <c r="J308" s="11">
        <v>7913200</v>
      </c>
    </row>
    <row r="309" spans="1:10" x14ac:dyDescent="0.3">
      <c r="A309" s="10">
        <v>46020</v>
      </c>
      <c r="B309" t="s">
        <v>19</v>
      </c>
      <c r="C309" t="s">
        <v>31</v>
      </c>
      <c r="D309" t="str">
        <f t="shared" si="12"/>
        <v>342856178309</v>
      </c>
      <c r="E309" t="str">
        <f t="shared" si="13"/>
        <v>Client309</v>
      </c>
      <c r="F309" t="str">
        <f t="shared" si="14"/>
        <v>BOB309</v>
      </c>
      <c r="G309" t="s">
        <v>32</v>
      </c>
      <c r="H309" t="s">
        <v>22</v>
      </c>
      <c r="I309" s="11">
        <v>0</v>
      </c>
      <c r="J309" s="11">
        <v>9025600</v>
      </c>
    </row>
    <row r="310" spans="1:10" x14ac:dyDescent="0.3">
      <c r="A310" s="10">
        <v>46020</v>
      </c>
      <c r="B310" t="s">
        <v>19</v>
      </c>
      <c r="C310" t="s">
        <v>31</v>
      </c>
      <c r="D310" t="str">
        <f t="shared" si="12"/>
        <v>342856178310</v>
      </c>
      <c r="E310" t="str">
        <f t="shared" si="13"/>
        <v>Client310</v>
      </c>
      <c r="F310" t="str">
        <f t="shared" si="14"/>
        <v>BOB310</v>
      </c>
      <c r="G310" t="s">
        <v>32</v>
      </c>
      <c r="H310" t="s">
        <v>22</v>
      </c>
      <c r="I310" s="11">
        <v>0</v>
      </c>
      <c r="J310" s="11">
        <v>9901600</v>
      </c>
    </row>
    <row r="311" spans="1:10" x14ac:dyDescent="0.3">
      <c r="A311" s="10">
        <v>46020</v>
      </c>
      <c r="B311" t="s">
        <v>19</v>
      </c>
      <c r="C311" t="s">
        <v>31</v>
      </c>
      <c r="D311" t="str">
        <f t="shared" si="12"/>
        <v>342856178311</v>
      </c>
      <c r="E311" t="str">
        <f t="shared" si="13"/>
        <v>Client311</v>
      </c>
      <c r="F311" t="str">
        <f t="shared" si="14"/>
        <v>BOB311</v>
      </c>
      <c r="G311" t="s">
        <v>32</v>
      </c>
      <c r="H311" t="s">
        <v>22</v>
      </c>
      <c r="I311" s="11">
        <v>0</v>
      </c>
      <c r="J311" s="11">
        <v>7007000</v>
      </c>
    </row>
    <row r="312" spans="1:10" x14ac:dyDescent="0.3">
      <c r="A312" s="10">
        <v>46020</v>
      </c>
      <c r="B312" t="s">
        <v>19</v>
      </c>
      <c r="C312" t="s">
        <v>44</v>
      </c>
      <c r="D312" t="str">
        <f t="shared" si="12"/>
        <v>342856178312</v>
      </c>
      <c r="E312" t="str">
        <f t="shared" si="13"/>
        <v>Client312</v>
      </c>
      <c r="F312" t="str">
        <f t="shared" si="14"/>
        <v>BOB312</v>
      </c>
      <c r="G312" t="s">
        <v>21</v>
      </c>
      <c r="H312" t="s">
        <v>22</v>
      </c>
      <c r="I312" s="11">
        <v>0</v>
      </c>
      <c r="J312" s="11">
        <v>3402200</v>
      </c>
    </row>
    <row r="313" spans="1:10" x14ac:dyDescent="0.3">
      <c r="A313" s="10">
        <v>46020</v>
      </c>
      <c r="B313" t="s">
        <v>19</v>
      </c>
      <c r="C313" t="s">
        <v>44</v>
      </c>
      <c r="D313" t="str">
        <f t="shared" si="12"/>
        <v>342856178313</v>
      </c>
      <c r="E313" t="str">
        <f t="shared" si="13"/>
        <v>Client313</v>
      </c>
      <c r="F313" t="str">
        <f t="shared" si="14"/>
        <v>BOB313</v>
      </c>
      <c r="G313" t="s">
        <v>21</v>
      </c>
      <c r="H313" t="s">
        <v>22</v>
      </c>
      <c r="I313" s="11">
        <v>0</v>
      </c>
      <c r="J313" s="11">
        <v>200000</v>
      </c>
    </row>
    <row r="314" spans="1:10" x14ac:dyDescent="0.3">
      <c r="A314" s="10">
        <v>46020</v>
      </c>
      <c r="B314" t="s">
        <v>19</v>
      </c>
      <c r="C314" t="s">
        <v>44</v>
      </c>
      <c r="D314" t="str">
        <f t="shared" si="12"/>
        <v>342856178314</v>
      </c>
      <c r="E314" t="str">
        <f t="shared" si="13"/>
        <v>Client314</v>
      </c>
      <c r="F314" t="str">
        <f t="shared" si="14"/>
        <v>BOB314</v>
      </c>
      <c r="G314" t="s">
        <v>21</v>
      </c>
      <c r="H314" t="s">
        <v>22</v>
      </c>
      <c r="I314" s="11">
        <v>0</v>
      </c>
      <c r="J314" s="11">
        <v>1500000</v>
      </c>
    </row>
    <row r="315" spans="1:10" x14ac:dyDescent="0.3">
      <c r="A315" s="10">
        <v>46020</v>
      </c>
      <c r="B315" t="s">
        <v>19</v>
      </c>
      <c r="C315" t="s">
        <v>44</v>
      </c>
      <c r="D315" t="str">
        <f t="shared" si="12"/>
        <v>342856178315</v>
      </c>
      <c r="E315" t="str">
        <f t="shared" si="13"/>
        <v>Client315</v>
      </c>
      <c r="F315" t="str">
        <f t="shared" si="14"/>
        <v>BOB315</v>
      </c>
      <c r="G315" t="s">
        <v>21</v>
      </c>
      <c r="H315" t="s">
        <v>22</v>
      </c>
      <c r="I315" s="11">
        <v>0</v>
      </c>
      <c r="J315" s="11">
        <v>1253000</v>
      </c>
    </row>
    <row r="316" spans="1:10" x14ac:dyDescent="0.3">
      <c r="A316" s="10">
        <v>46020</v>
      </c>
      <c r="B316" t="s">
        <v>19</v>
      </c>
      <c r="C316" t="s">
        <v>44</v>
      </c>
      <c r="D316" t="str">
        <f t="shared" si="12"/>
        <v>342856178316</v>
      </c>
      <c r="E316" t="str">
        <f t="shared" si="13"/>
        <v>Client316</v>
      </c>
      <c r="F316" t="str">
        <f t="shared" si="14"/>
        <v>BOB316</v>
      </c>
      <c r="G316" t="s">
        <v>21</v>
      </c>
      <c r="H316" t="s">
        <v>22</v>
      </c>
      <c r="I316" s="11">
        <v>0</v>
      </c>
      <c r="J316" s="11">
        <v>2930000</v>
      </c>
    </row>
    <row r="317" spans="1:10" x14ac:dyDescent="0.3">
      <c r="A317" s="10">
        <v>46020</v>
      </c>
      <c r="B317" t="s">
        <v>19</v>
      </c>
      <c r="C317" t="s">
        <v>33</v>
      </c>
      <c r="D317" t="str">
        <f t="shared" si="12"/>
        <v>342856178317</v>
      </c>
      <c r="E317" t="str">
        <f t="shared" si="13"/>
        <v>Client317</v>
      </c>
      <c r="F317" t="str">
        <f t="shared" si="14"/>
        <v>BOB317</v>
      </c>
      <c r="G317" t="s">
        <v>32</v>
      </c>
      <c r="H317" t="s">
        <v>22</v>
      </c>
      <c r="I317" s="11">
        <v>0</v>
      </c>
      <c r="J317" s="11">
        <v>1800000</v>
      </c>
    </row>
    <row r="318" spans="1:10" x14ac:dyDescent="0.3">
      <c r="A318" s="10">
        <v>46020</v>
      </c>
      <c r="B318" t="s">
        <v>19</v>
      </c>
      <c r="C318" t="s">
        <v>33</v>
      </c>
      <c r="D318" t="str">
        <f t="shared" si="12"/>
        <v>342856178318</v>
      </c>
      <c r="E318" t="str">
        <f t="shared" si="13"/>
        <v>Client318</v>
      </c>
      <c r="F318" t="str">
        <f t="shared" si="14"/>
        <v>BOB318</v>
      </c>
      <c r="G318" t="s">
        <v>32</v>
      </c>
      <c r="H318" t="s">
        <v>22</v>
      </c>
      <c r="I318" s="11">
        <v>0</v>
      </c>
      <c r="J318" s="11">
        <v>250000</v>
      </c>
    </row>
    <row r="319" spans="1:10" x14ac:dyDescent="0.3">
      <c r="A319" s="10">
        <v>46020</v>
      </c>
      <c r="B319" t="s">
        <v>19</v>
      </c>
      <c r="C319" t="s">
        <v>33</v>
      </c>
      <c r="D319" t="str">
        <f t="shared" si="12"/>
        <v>342856178319</v>
      </c>
      <c r="E319" t="str">
        <f t="shared" si="13"/>
        <v>Client319</v>
      </c>
      <c r="F319" t="str">
        <f t="shared" si="14"/>
        <v>BOB319</v>
      </c>
      <c r="G319" t="s">
        <v>32</v>
      </c>
      <c r="H319" t="s">
        <v>22</v>
      </c>
      <c r="I319" s="11">
        <v>0</v>
      </c>
      <c r="J319" s="11">
        <v>7767000</v>
      </c>
    </row>
    <row r="320" spans="1:10" x14ac:dyDescent="0.3">
      <c r="A320" s="10">
        <v>46020</v>
      </c>
      <c r="B320" t="s">
        <v>19</v>
      </c>
      <c r="C320" t="s">
        <v>33</v>
      </c>
      <c r="D320" t="str">
        <f t="shared" si="12"/>
        <v>342856178320</v>
      </c>
      <c r="E320" t="str">
        <f t="shared" si="13"/>
        <v>Client320</v>
      </c>
      <c r="F320" t="str">
        <f t="shared" si="14"/>
        <v>BOB320</v>
      </c>
      <c r="G320" t="s">
        <v>32</v>
      </c>
      <c r="H320" t="s">
        <v>22</v>
      </c>
      <c r="I320" s="11">
        <v>0</v>
      </c>
      <c r="J320" s="11">
        <v>3655400</v>
      </c>
    </row>
    <row r="321" spans="1:10" x14ac:dyDescent="0.3">
      <c r="A321" s="10">
        <v>46020</v>
      </c>
      <c r="B321" t="s">
        <v>19</v>
      </c>
      <c r="C321" t="s">
        <v>33</v>
      </c>
      <c r="D321" t="str">
        <f t="shared" si="12"/>
        <v>342856178321</v>
      </c>
      <c r="E321" t="str">
        <f t="shared" si="13"/>
        <v>Client321</v>
      </c>
      <c r="F321" t="str">
        <f t="shared" si="14"/>
        <v>BOB321</v>
      </c>
      <c r="G321" t="s">
        <v>32</v>
      </c>
      <c r="H321" t="s">
        <v>22</v>
      </c>
      <c r="I321" s="11">
        <v>0</v>
      </c>
      <c r="J321" s="11">
        <v>6300000</v>
      </c>
    </row>
    <row r="322" spans="1:10" x14ac:dyDescent="0.3">
      <c r="A322" s="10">
        <v>46020</v>
      </c>
      <c r="B322" t="s">
        <v>19</v>
      </c>
      <c r="C322" t="s">
        <v>33</v>
      </c>
      <c r="D322" t="str">
        <f t="shared" ref="D322:D385" si="15" xml:space="preserve"> "342856178" &amp; ROW()</f>
        <v>342856178322</v>
      </c>
      <c r="E322" t="str">
        <f t="shared" si="13"/>
        <v>Client322</v>
      </c>
      <c r="F322" t="str">
        <f t="shared" si="14"/>
        <v>BOB322</v>
      </c>
      <c r="G322" t="s">
        <v>32</v>
      </c>
      <c r="H322" t="s">
        <v>22</v>
      </c>
      <c r="I322" s="11">
        <v>0</v>
      </c>
      <c r="J322" s="11">
        <v>3578200</v>
      </c>
    </row>
    <row r="323" spans="1:10" x14ac:dyDescent="0.3">
      <c r="A323" s="10">
        <v>46020</v>
      </c>
      <c r="B323" t="s">
        <v>19</v>
      </c>
      <c r="C323" t="s">
        <v>33</v>
      </c>
      <c r="D323" t="str">
        <f t="shared" si="15"/>
        <v>342856178323</v>
      </c>
      <c r="E323" t="str">
        <f t="shared" ref="E323:E386" si="16">"Client"  &amp; ROW()</f>
        <v>Client323</v>
      </c>
      <c r="F323" t="str">
        <f t="shared" ref="F323:F386" si="17">"BOB"&amp;ROW()</f>
        <v>BOB323</v>
      </c>
      <c r="G323" t="s">
        <v>32</v>
      </c>
      <c r="H323" t="s">
        <v>22</v>
      </c>
      <c r="I323" s="11">
        <v>0</v>
      </c>
      <c r="J323" s="11">
        <v>300000</v>
      </c>
    </row>
    <row r="324" spans="1:10" x14ac:dyDescent="0.3">
      <c r="A324" s="10">
        <v>46020</v>
      </c>
      <c r="B324" t="s">
        <v>19</v>
      </c>
      <c r="C324" t="s">
        <v>33</v>
      </c>
      <c r="D324" t="str">
        <f t="shared" si="15"/>
        <v>342856178324</v>
      </c>
      <c r="E324" t="str">
        <f t="shared" si="16"/>
        <v>Client324</v>
      </c>
      <c r="F324" t="str">
        <f t="shared" si="17"/>
        <v>BOB324</v>
      </c>
      <c r="G324" t="s">
        <v>32</v>
      </c>
      <c r="H324" t="s">
        <v>22</v>
      </c>
      <c r="I324" s="11">
        <v>0</v>
      </c>
      <c r="J324" s="11">
        <v>5000000</v>
      </c>
    </row>
    <row r="325" spans="1:10" x14ac:dyDescent="0.3">
      <c r="A325" s="10">
        <v>46020</v>
      </c>
      <c r="B325" t="s">
        <v>19</v>
      </c>
      <c r="C325" t="s">
        <v>33</v>
      </c>
      <c r="D325" t="str">
        <f t="shared" si="15"/>
        <v>342856178325</v>
      </c>
      <c r="E325" t="str">
        <f t="shared" si="16"/>
        <v>Client325</v>
      </c>
      <c r="F325" t="str">
        <f t="shared" si="17"/>
        <v>BOB325</v>
      </c>
      <c r="G325" t="s">
        <v>32</v>
      </c>
      <c r="H325" t="s">
        <v>22</v>
      </c>
      <c r="I325" s="11">
        <v>0</v>
      </c>
      <c r="J325" s="11">
        <v>9747400</v>
      </c>
    </row>
    <row r="326" spans="1:10" x14ac:dyDescent="0.3">
      <c r="A326" s="10">
        <v>46020</v>
      </c>
      <c r="B326" t="s">
        <v>19</v>
      </c>
      <c r="C326" t="s">
        <v>33</v>
      </c>
      <c r="D326" t="str">
        <f t="shared" si="15"/>
        <v>342856178326</v>
      </c>
      <c r="E326" t="str">
        <f t="shared" si="16"/>
        <v>Client326</v>
      </c>
      <c r="F326" t="str">
        <f t="shared" si="17"/>
        <v>BOB326</v>
      </c>
      <c r="G326" t="s">
        <v>32</v>
      </c>
      <c r="H326" t="s">
        <v>22</v>
      </c>
      <c r="I326" s="11">
        <v>0</v>
      </c>
      <c r="J326" s="11">
        <v>100000</v>
      </c>
    </row>
    <row r="327" spans="1:10" x14ac:dyDescent="0.3">
      <c r="A327" s="10">
        <v>46020</v>
      </c>
      <c r="B327" t="s">
        <v>19</v>
      </c>
      <c r="C327" t="s">
        <v>33</v>
      </c>
      <c r="D327" t="str">
        <f t="shared" si="15"/>
        <v>342856178327</v>
      </c>
      <c r="E327" t="str">
        <f t="shared" si="16"/>
        <v>Client327</v>
      </c>
      <c r="F327" t="str">
        <f t="shared" si="17"/>
        <v>BOB327</v>
      </c>
      <c r="G327" t="s">
        <v>32</v>
      </c>
      <c r="H327" t="s">
        <v>22</v>
      </c>
      <c r="I327" s="11">
        <v>0</v>
      </c>
      <c r="J327" s="11">
        <v>8500000</v>
      </c>
    </row>
    <row r="328" spans="1:10" x14ac:dyDescent="0.3">
      <c r="A328" s="10">
        <v>46020</v>
      </c>
      <c r="B328" t="s">
        <v>19</v>
      </c>
      <c r="C328" t="s">
        <v>33</v>
      </c>
      <c r="D328" t="str">
        <f t="shared" si="15"/>
        <v>342856178328</v>
      </c>
      <c r="E328" t="str">
        <f t="shared" si="16"/>
        <v>Client328</v>
      </c>
      <c r="F328" t="str">
        <f t="shared" si="17"/>
        <v>BOB328</v>
      </c>
      <c r="G328" t="s">
        <v>32</v>
      </c>
      <c r="H328" t="s">
        <v>22</v>
      </c>
      <c r="I328" s="11">
        <v>0</v>
      </c>
      <c r="J328" s="11">
        <v>4000000</v>
      </c>
    </row>
    <row r="329" spans="1:10" x14ac:dyDescent="0.3">
      <c r="A329" s="10">
        <v>46020</v>
      </c>
      <c r="B329" t="s">
        <v>19</v>
      </c>
      <c r="C329" t="s">
        <v>33</v>
      </c>
      <c r="D329" t="str">
        <f t="shared" si="15"/>
        <v>342856178329</v>
      </c>
      <c r="E329" t="str">
        <f t="shared" si="16"/>
        <v>Client329</v>
      </c>
      <c r="F329" t="str">
        <f t="shared" si="17"/>
        <v>BOB329</v>
      </c>
      <c r="G329" t="s">
        <v>32</v>
      </c>
      <c r="H329" t="s">
        <v>22</v>
      </c>
      <c r="I329" s="11">
        <v>0</v>
      </c>
      <c r="J329" s="11">
        <v>1453000</v>
      </c>
    </row>
    <row r="330" spans="1:10" x14ac:dyDescent="0.3">
      <c r="A330" s="10">
        <v>46020</v>
      </c>
      <c r="B330" t="s">
        <v>19</v>
      </c>
      <c r="C330" t="s">
        <v>33</v>
      </c>
      <c r="D330" t="str">
        <f t="shared" si="15"/>
        <v>342856178330</v>
      </c>
      <c r="E330" t="str">
        <f t="shared" si="16"/>
        <v>Client330</v>
      </c>
      <c r="F330" t="str">
        <f t="shared" si="17"/>
        <v>BOB330</v>
      </c>
      <c r="G330" t="s">
        <v>32</v>
      </c>
      <c r="H330" t="s">
        <v>22</v>
      </c>
      <c r="I330" s="11">
        <v>0</v>
      </c>
      <c r="J330" s="11">
        <v>1650000</v>
      </c>
    </row>
    <row r="331" spans="1:10" x14ac:dyDescent="0.3">
      <c r="A331" s="10">
        <v>46020</v>
      </c>
      <c r="B331" t="s">
        <v>19</v>
      </c>
      <c r="C331" t="s">
        <v>33</v>
      </c>
      <c r="D331" t="str">
        <f t="shared" si="15"/>
        <v>342856178331</v>
      </c>
      <c r="E331" t="str">
        <f t="shared" si="16"/>
        <v>Client331</v>
      </c>
      <c r="F331" t="str">
        <f t="shared" si="17"/>
        <v>BOB331</v>
      </c>
      <c r="G331" t="s">
        <v>32</v>
      </c>
      <c r="H331" t="s">
        <v>22</v>
      </c>
      <c r="I331" s="11">
        <v>0</v>
      </c>
      <c r="J331" s="11">
        <v>500000</v>
      </c>
    </row>
    <row r="332" spans="1:10" x14ac:dyDescent="0.3">
      <c r="A332" s="10">
        <v>46020</v>
      </c>
      <c r="B332" t="s">
        <v>19</v>
      </c>
      <c r="C332" t="s">
        <v>33</v>
      </c>
      <c r="D332" t="str">
        <f t="shared" si="15"/>
        <v>342856178332</v>
      </c>
      <c r="E332" t="str">
        <f t="shared" si="16"/>
        <v>Client332</v>
      </c>
      <c r="F332" t="str">
        <f t="shared" si="17"/>
        <v>BOB332</v>
      </c>
      <c r="G332" t="s">
        <v>32</v>
      </c>
      <c r="H332" t="s">
        <v>22</v>
      </c>
      <c r="I332" s="11">
        <v>0</v>
      </c>
      <c r="J332" s="11">
        <v>4550000</v>
      </c>
    </row>
    <row r="333" spans="1:10" x14ac:dyDescent="0.3">
      <c r="A333" s="10">
        <v>46020</v>
      </c>
      <c r="B333" t="s">
        <v>19</v>
      </c>
      <c r="C333" t="s">
        <v>33</v>
      </c>
      <c r="D333" t="str">
        <f t="shared" si="15"/>
        <v>342856178333</v>
      </c>
      <c r="E333" t="str">
        <f t="shared" si="16"/>
        <v>Client333</v>
      </c>
      <c r="F333" t="str">
        <f t="shared" si="17"/>
        <v>BOB333</v>
      </c>
      <c r="G333" t="s">
        <v>32</v>
      </c>
      <c r="H333" t="s">
        <v>22</v>
      </c>
      <c r="I333" s="11">
        <v>0</v>
      </c>
      <c r="J333" s="11">
        <v>2520500</v>
      </c>
    </row>
    <row r="334" spans="1:10" x14ac:dyDescent="0.3">
      <c r="A334" s="10">
        <v>46020</v>
      </c>
      <c r="B334" t="s">
        <v>19</v>
      </c>
      <c r="C334" t="s">
        <v>33</v>
      </c>
      <c r="D334" t="str">
        <f t="shared" si="15"/>
        <v>342856178334</v>
      </c>
      <c r="E334" t="str">
        <f t="shared" si="16"/>
        <v>Client334</v>
      </c>
      <c r="F334" t="str">
        <f t="shared" si="17"/>
        <v>BOB334</v>
      </c>
      <c r="G334" t="s">
        <v>32</v>
      </c>
      <c r="H334" t="s">
        <v>22</v>
      </c>
      <c r="I334" s="11">
        <v>0</v>
      </c>
      <c r="J334" s="11">
        <v>135168600</v>
      </c>
    </row>
    <row r="335" spans="1:10" x14ac:dyDescent="0.3">
      <c r="A335" s="10">
        <v>46020</v>
      </c>
      <c r="B335" t="s">
        <v>19</v>
      </c>
      <c r="C335" t="s">
        <v>33</v>
      </c>
      <c r="D335" t="str">
        <f t="shared" si="15"/>
        <v>342856178335</v>
      </c>
      <c r="E335" t="str">
        <f t="shared" si="16"/>
        <v>Client335</v>
      </c>
      <c r="F335" t="str">
        <f t="shared" si="17"/>
        <v>BOB335</v>
      </c>
      <c r="G335" t="s">
        <v>32</v>
      </c>
      <c r="H335" t="s">
        <v>22</v>
      </c>
      <c r="I335" s="11">
        <v>0</v>
      </c>
      <c r="J335" s="11">
        <v>10500000</v>
      </c>
    </row>
    <row r="336" spans="1:10" x14ac:dyDescent="0.3">
      <c r="A336" s="10">
        <v>46020</v>
      </c>
      <c r="B336" t="s">
        <v>19</v>
      </c>
      <c r="C336" t="s">
        <v>52</v>
      </c>
      <c r="D336" t="str">
        <f t="shared" si="15"/>
        <v>342856178336</v>
      </c>
      <c r="E336" t="str">
        <f t="shared" si="16"/>
        <v>Client336</v>
      </c>
      <c r="F336" t="str">
        <f t="shared" si="17"/>
        <v>BOB336</v>
      </c>
      <c r="G336" t="s">
        <v>21</v>
      </c>
      <c r="H336" t="s">
        <v>22</v>
      </c>
      <c r="I336" s="11">
        <v>0</v>
      </c>
      <c r="J336" s="11">
        <v>2704000</v>
      </c>
    </row>
    <row r="337" spans="1:10" x14ac:dyDescent="0.3">
      <c r="A337" s="10">
        <v>46020</v>
      </c>
      <c r="B337" t="s">
        <v>19</v>
      </c>
      <c r="C337" t="s">
        <v>52</v>
      </c>
      <c r="D337" t="str">
        <f t="shared" si="15"/>
        <v>342856178337</v>
      </c>
      <c r="E337" t="str">
        <f t="shared" si="16"/>
        <v>Client337</v>
      </c>
      <c r="F337" t="str">
        <f t="shared" si="17"/>
        <v>BOB337</v>
      </c>
      <c r="G337" t="s">
        <v>21</v>
      </c>
      <c r="H337" t="s">
        <v>22</v>
      </c>
      <c r="I337" s="11">
        <v>0</v>
      </c>
      <c r="J337" s="11">
        <v>3000000</v>
      </c>
    </row>
    <row r="338" spans="1:10" x14ac:dyDescent="0.3">
      <c r="A338" s="10">
        <v>46020</v>
      </c>
      <c r="B338" t="s">
        <v>19</v>
      </c>
      <c r="C338" t="s">
        <v>52</v>
      </c>
      <c r="D338" t="str">
        <f t="shared" si="15"/>
        <v>342856178338</v>
      </c>
      <c r="E338" t="str">
        <f t="shared" si="16"/>
        <v>Client338</v>
      </c>
      <c r="F338" t="str">
        <f t="shared" si="17"/>
        <v>BOB338</v>
      </c>
      <c r="G338" t="s">
        <v>21</v>
      </c>
      <c r="H338" t="s">
        <v>22</v>
      </c>
      <c r="I338" s="11">
        <v>0</v>
      </c>
      <c r="J338" s="11">
        <v>1000000</v>
      </c>
    </row>
    <row r="339" spans="1:10" x14ac:dyDescent="0.3">
      <c r="A339" s="10">
        <v>46020</v>
      </c>
      <c r="B339" t="s">
        <v>19</v>
      </c>
      <c r="C339" t="s">
        <v>29</v>
      </c>
      <c r="D339" t="str">
        <f t="shared" si="15"/>
        <v>342856178339</v>
      </c>
      <c r="E339" t="str">
        <f t="shared" si="16"/>
        <v>Client339</v>
      </c>
      <c r="F339" t="str">
        <f t="shared" si="17"/>
        <v>BOB339</v>
      </c>
      <c r="G339" t="s">
        <v>30</v>
      </c>
      <c r="H339" t="s">
        <v>22</v>
      </c>
      <c r="I339" s="11">
        <v>0</v>
      </c>
      <c r="J339" s="11">
        <v>22048000</v>
      </c>
    </row>
    <row r="340" spans="1:10" x14ac:dyDescent="0.3">
      <c r="A340" s="10">
        <v>46020</v>
      </c>
      <c r="B340" t="s">
        <v>19</v>
      </c>
      <c r="C340" t="s">
        <v>29</v>
      </c>
      <c r="D340" t="str">
        <f t="shared" si="15"/>
        <v>342856178340</v>
      </c>
      <c r="E340" t="str">
        <f t="shared" si="16"/>
        <v>Client340</v>
      </c>
      <c r="F340" t="str">
        <f t="shared" si="17"/>
        <v>BOB340</v>
      </c>
      <c r="G340" t="s">
        <v>30</v>
      </c>
      <c r="H340" t="s">
        <v>22</v>
      </c>
      <c r="I340" s="11">
        <v>0</v>
      </c>
      <c r="J340" s="11">
        <v>3206000</v>
      </c>
    </row>
    <row r="341" spans="1:10" x14ac:dyDescent="0.3">
      <c r="A341" s="10">
        <v>46020</v>
      </c>
      <c r="B341" t="s">
        <v>19</v>
      </c>
      <c r="C341" t="s">
        <v>29</v>
      </c>
      <c r="D341" t="str">
        <f t="shared" si="15"/>
        <v>342856178341</v>
      </c>
      <c r="E341" t="str">
        <f t="shared" si="16"/>
        <v>Client341</v>
      </c>
      <c r="F341" t="str">
        <f t="shared" si="17"/>
        <v>BOB341</v>
      </c>
      <c r="G341" t="s">
        <v>30</v>
      </c>
      <c r="H341" t="s">
        <v>22</v>
      </c>
      <c r="I341" s="11">
        <v>0</v>
      </c>
      <c r="J341" s="11">
        <v>5920000</v>
      </c>
    </row>
    <row r="342" spans="1:10" x14ac:dyDescent="0.3">
      <c r="A342" s="10">
        <v>46020</v>
      </c>
      <c r="B342" t="s">
        <v>19</v>
      </c>
      <c r="C342" t="s">
        <v>29</v>
      </c>
      <c r="D342" t="str">
        <f t="shared" si="15"/>
        <v>342856178342</v>
      </c>
      <c r="E342" t="str">
        <f t="shared" si="16"/>
        <v>Client342</v>
      </c>
      <c r="F342" t="str">
        <f t="shared" si="17"/>
        <v>BOB342</v>
      </c>
      <c r="G342" t="s">
        <v>30</v>
      </c>
      <c r="H342" t="s">
        <v>22</v>
      </c>
      <c r="I342" s="11">
        <v>0</v>
      </c>
      <c r="J342" s="11">
        <v>3000000</v>
      </c>
    </row>
    <row r="343" spans="1:10" x14ac:dyDescent="0.3">
      <c r="A343" s="10">
        <v>46020</v>
      </c>
      <c r="B343" t="s">
        <v>19</v>
      </c>
      <c r="C343" t="s">
        <v>29</v>
      </c>
      <c r="D343" t="str">
        <f t="shared" si="15"/>
        <v>342856178343</v>
      </c>
      <c r="E343" t="str">
        <f t="shared" si="16"/>
        <v>Client343</v>
      </c>
      <c r="F343" t="str">
        <f t="shared" si="17"/>
        <v>BOB343</v>
      </c>
      <c r="G343" t="s">
        <v>30</v>
      </c>
      <c r="H343" t="s">
        <v>22</v>
      </c>
      <c r="I343" s="11">
        <v>0</v>
      </c>
      <c r="J343" s="11">
        <v>3009000</v>
      </c>
    </row>
    <row r="344" spans="1:10" x14ac:dyDescent="0.3">
      <c r="A344" s="10">
        <v>46020</v>
      </c>
      <c r="B344" t="s">
        <v>19</v>
      </c>
      <c r="C344" t="s">
        <v>29</v>
      </c>
      <c r="D344" t="str">
        <f t="shared" si="15"/>
        <v>342856178344</v>
      </c>
      <c r="E344" t="str">
        <f t="shared" si="16"/>
        <v>Client344</v>
      </c>
      <c r="F344" t="str">
        <f t="shared" si="17"/>
        <v>BOB344</v>
      </c>
      <c r="G344" t="s">
        <v>30</v>
      </c>
      <c r="H344" t="s">
        <v>22</v>
      </c>
      <c r="I344" s="11">
        <v>0</v>
      </c>
      <c r="J344" s="11">
        <v>4001500</v>
      </c>
    </row>
    <row r="345" spans="1:10" x14ac:dyDescent="0.3">
      <c r="A345" s="10">
        <v>46020</v>
      </c>
      <c r="B345" t="s">
        <v>19</v>
      </c>
      <c r="C345" t="s">
        <v>29</v>
      </c>
      <c r="D345" t="str">
        <f t="shared" si="15"/>
        <v>342856178345</v>
      </c>
      <c r="E345" t="str">
        <f t="shared" si="16"/>
        <v>Client345</v>
      </c>
      <c r="F345" t="str">
        <f t="shared" si="17"/>
        <v>BOB345</v>
      </c>
      <c r="G345" t="s">
        <v>30</v>
      </c>
      <c r="H345" t="s">
        <v>22</v>
      </c>
      <c r="I345" s="11">
        <v>0</v>
      </c>
      <c r="J345" s="11">
        <v>45420000</v>
      </c>
    </row>
    <row r="346" spans="1:10" x14ac:dyDescent="0.3">
      <c r="A346" s="10">
        <v>46020</v>
      </c>
      <c r="B346" t="s">
        <v>19</v>
      </c>
      <c r="C346" t="s">
        <v>29</v>
      </c>
      <c r="D346" t="str">
        <f t="shared" si="15"/>
        <v>342856178346</v>
      </c>
      <c r="E346" t="str">
        <f t="shared" si="16"/>
        <v>Client346</v>
      </c>
      <c r="F346" t="str">
        <f t="shared" si="17"/>
        <v>BOB346</v>
      </c>
      <c r="G346" t="s">
        <v>30</v>
      </c>
      <c r="H346" t="s">
        <v>22</v>
      </c>
      <c r="I346" s="11">
        <v>0</v>
      </c>
      <c r="J346" s="11">
        <v>4108000</v>
      </c>
    </row>
    <row r="347" spans="1:10" x14ac:dyDescent="0.3">
      <c r="A347" s="10">
        <v>46020</v>
      </c>
      <c r="B347" t="s">
        <v>19</v>
      </c>
      <c r="C347" t="s">
        <v>29</v>
      </c>
      <c r="D347" t="str">
        <f t="shared" si="15"/>
        <v>342856178347</v>
      </c>
      <c r="E347" t="str">
        <f t="shared" si="16"/>
        <v>Client347</v>
      </c>
      <c r="F347" t="str">
        <f t="shared" si="17"/>
        <v>BOB347</v>
      </c>
      <c r="G347" t="s">
        <v>30</v>
      </c>
      <c r="H347" t="s">
        <v>22</v>
      </c>
      <c r="I347" s="11">
        <v>0</v>
      </c>
      <c r="J347" s="11">
        <v>200000</v>
      </c>
    </row>
    <row r="348" spans="1:10" x14ac:dyDescent="0.3">
      <c r="A348" s="10">
        <v>46020</v>
      </c>
      <c r="B348" t="s">
        <v>19</v>
      </c>
      <c r="C348" t="s">
        <v>29</v>
      </c>
      <c r="D348" t="str">
        <f t="shared" si="15"/>
        <v>342856178348</v>
      </c>
      <c r="E348" t="str">
        <f t="shared" si="16"/>
        <v>Client348</v>
      </c>
      <c r="F348" t="str">
        <f t="shared" si="17"/>
        <v>BOB348</v>
      </c>
      <c r="G348" t="s">
        <v>30</v>
      </c>
      <c r="H348" t="s">
        <v>22</v>
      </c>
      <c r="I348" s="11">
        <v>0</v>
      </c>
      <c r="J348" s="11">
        <v>8025000</v>
      </c>
    </row>
    <row r="349" spans="1:10" x14ac:dyDescent="0.3">
      <c r="A349" s="10">
        <v>46020</v>
      </c>
      <c r="B349" t="s">
        <v>19</v>
      </c>
      <c r="C349" t="s">
        <v>29</v>
      </c>
      <c r="D349" t="str">
        <f t="shared" si="15"/>
        <v>342856178349</v>
      </c>
      <c r="E349" t="str">
        <f t="shared" si="16"/>
        <v>Client349</v>
      </c>
      <c r="F349" t="str">
        <f t="shared" si="17"/>
        <v>BOB349</v>
      </c>
      <c r="G349" t="s">
        <v>30</v>
      </c>
      <c r="H349" t="s">
        <v>22</v>
      </c>
      <c r="I349" s="11">
        <v>0</v>
      </c>
      <c r="J349" s="11">
        <v>422500</v>
      </c>
    </row>
    <row r="350" spans="1:10" x14ac:dyDescent="0.3">
      <c r="A350" s="10">
        <v>46020</v>
      </c>
      <c r="B350" t="s">
        <v>19</v>
      </c>
      <c r="C350" t="s">
        <v>29</v>
      </c>
      <c r="D350" t="str">
        <f t="shared" si="15"/>
        <v>342856178350</v>
      </c>
      <c r="E350" t="str">
        <f t="shared" si="16"/>
        <v>Client350</v>
      </c>
      <c r="F350" t="str">
        <f t="shared" si="17"/>
        <v>BOB350</v>
      </c>
      <c r="G350" t="s">
        <v>30</v>
      </c>
      <c r="H350" t="s">
        <v>22</v>
      </c>
      <c r="I350" s="11">
        <v>0</v>
      </c>
      <c r="J350" s="11">
        <v>693000</v>
      </c>
    </row>
    <row r="351" spans="1:10" x14ac:dyDescent="0.3">
      <c r="A351" s="10">
        <v>46020</v>
      </c>
      <c r="B351" t="s">
        <v>19</v>
      </c>
      <c r="C351" t="s">
        <v>29</v>
      </c>
      <c r="D351" t="str">
        <f t="shared" si="15"/>
        <v>342856178351</v>
      </c>
      <c r="E351" t="str">
        <f t="shared" si="16"/>
        <v>Client351</v>
      </c>
      <c r="F351" t="str">
        <f t="shared" si="17"/>
        <v>BOB351</v>
      </c>
      <c r="G351" t="s">
        <v>30</v>
      </c>
      <c r="H351" t="s">
        <v>22</v>
      </c>
      <c r="I351" s="11">
        <v>0</v>
      </c>
      <c r="J351" s="11">
        <v>202000</v>
      </c>
    </row>
    <row r="352" spans="1:10" x14ac:dyDescent="0.3">
      <c r="A352" s="10">
        <v>46020</v>
      </c>
      <c r="B352" t="s">
        <v>19</v>
      </c>
      <c r="C352" t="s">
        <v>29</v>
      </c>
      <c r="D352" t="str">
        <f t="shared" si="15"/>
        <v>342856178352</v>
      </c>
      <c r="E352" t="str">
        <f t="shared" si="16"/>
        <v>Client352</v>
      </c>
      <c r="F352" t="str">
        <f t="shared" si="17"/>
        <v>BOB352</v>
      </c>
      <c r="G352" t="s">
        <v>30</v>
      </c>
      <c r="H352" t="s">
        <v>22</v>
      </c>
      <c r="I352" s="11">
        <v>0</v>
      </c>
      <c r="J352" s="11">
        <v>4900000</v>
      </c>
    </row>
    <row r="353" spans="1:10" x14ac:dyDescent="0.3">
      <c r="A353" s="10">
        <v>46020</v>
      </c>
      <c r="B353" t="s">
        <v>19</v>
      </c>
      <c r="C353" t="s">
        <v>29</v>
      </c>
      <c r="D353" t="str">
        <f t="shared" si="15"/>
        <v>342856178353</v>
      </c>
      <c r="E353" t="str">
        <f t="shared" si="16"/>
        <v>Client353</v>
      </c>
      <c r="F353" t="str">
        <f t="shared" si="17"/>
        <v>BOB353</v>
      </c>
      <c r="G353" t="s">
        <v>30</v>
      </c>
      <c r="H353" t="s">
        <v>22</v>
      </c>
      <c r="I353" s="11">
        <v>0</v>
      </c>
      <c r="J353" s="11">
        <v>460000</v>
      </c>
    </row>
    <row r="354" spans="1:10" x14ac:dyDescent="0.3">
      <c r="A354" s="10">
        <v>46020</v>
      </c>
      <c r="B354" t="s">
        <v>19</v>
      </c>
      <c r="C354" t="s">
        <v>29</v>
      </c>
      <c r="D354" t="str">
        <f t="shared" si="15"/>
        <v>342856178354</v>
      </c>
      <c r="E354" t="str">
        <f t="shared" si="16"/>
        <v>Client354</v>
      </c>
      <c r="F354" t="str">
        <f t="shared" si="17"/>
        <v>BOB354</v>
      </c>
      <c r="G354" t="s">
        <v>30</v>
      </c>
      <c r="H354" t="s">
        <v>22</v>
      </c>
      <c r="I354" s="11">
        <v>0</v>
      </c>
      <c r="J354" s="11">
        <v>1353000</v>
      </c>
    </row>
    <row r="355" spans="1:10" x14ac:dyDescent="0.3">
      <c r="A355" s="10">
        <v>46020</v>
      </c>
      <c r="B355" t="s">
        <v>19</v>
      </c>
      <c r="C355" t="s">
        <v>29</v>
      </c>
      <c r="D355" t="str">
        <f t="shared" si="15"/>
        <v>342856178355</v>
      </c>
      <c r="E355" t="str">
        <f t="shared" si="16"/>
        <v>Client355</v>
      </c>
      <c r="F355" t="str">
        <f t="shared" si="17"/>
        <v>BOB355</v>
      </c>
      <c r="G355" t="s">
        <v>30</v>
      </c>
      <c r="H355" t="s">
        <v>22</v>
      </c>
      <c r="I355" s="11">
        <v>0</v>
      </c>
      <c r="J355" s="11">
        <v>1865000</v>
      </c>
    </row>
    <row r="356" spans="1:10" x14ac:dyDescent="0.3">
      <c r="A356" s="10">
        <v>46020</v>
      </c>
      <c r="B356" t="s">
        <v>19</v>
      </c>
      <c r="C356" t="s">
        <v>29</v>
      </c>
      <c r="D356" t="str">
        <f t="shared" si="15"/>
        <v>342856178356</v>
      </c>
      <c r="E356" t="str">
        <f t="shared" si="16"/>
        <v>Client356</v>
      </c>
      <c r="F356" t="str">
        <f t="shared" si="17"/>
        <v>BOB356</v>
      </c>
      <c r="G356" t="s">
        <v>30</v>
      </c>
      <c r="H356" t="s">
        <v>22</v>
      </c>
      <c r="I356" s="11">
        <v>0</v>
      </c>
      <c r="J356" s="11">
        <v>1105500</v>
      </c>
    </row>
    <row r="357" spans="1:10" x14ac:dyDescent="0.3">
      <c r="A357" s="10">
        <v>46020</v>
      </c>
      <c r="B357" t="s">
        <v>19</v>
      </c>
      <c r="C357" t="s">
        <v>29</v>
      </c>
      <c r="D357" t="str">
        <f t="shared" si="15"/>
        <v>342856178357</v>
      </c>
      <c r="E357" t="str">
        <f t="shared" si="16"/>
        <v>Client357</v>
      </c>
      <c r="F357" t="str">
        <f t="shared" si="17"/>
        <v>BOB357</v>
      </c>
      <c r="G357" t="s">
        <v>30</v>
      </c>
      <c r="H357" t="s">
        <v>22</v>
      </c>
      <c r="I357" s="11">
        <v>0</v>
      </c>
      <c r="J357" s="11">
        <v>3009000</v>
      </c>
    </row>
    <row r="358" spans="1:10" x14ac:dyDescent="0.3">
      <c r="A358" s="10">
        <v>46020</v>
      </c>
      <c r="B358" t="s">
        <v>19</v>
      </c>
      <c r="C358" t="s">
        <v>29</v>
      </c>
      <c r="D358" t="str">
        <f t="shared" si="15"/>
        <v>342856178358</v>
      </c>
      <c r="E358" t="str">
        <f t="shared" si="16"/>
        <v>Client358</v>
      </c>
      <c r="F358" t="str">
        <f t="shared" si="17"/>
        <v>BOB358</v>
      </c>
      <c r="G358" t="s">
        <v>30</v>
      </c>
      <c r="H358" t="s">
        <v>22</v>
      </c>
      <c r="I358" s="11">
        <v>0</v>
      </c>
      <c r="J358" s="11">
        <v>19031000</v>
      </c>
    </row>
    <row r="359" spans="1:10" x14ac:dyDescent="0.3">
      <c r="A359" s="10">
        <v>46020</v>
      </c>
      <c r="B359" t="s">
        <v>19</v>
      </c>
      <c r="C359" t="s">
        <v>29</v>
      </c>
      <c r="D359" t="str">
        <f t="shared" si="15"/>
        <v>342856178359</v>
      </c>
      <c r="E359" t="str">
        <f t="shared" si="16"/>
        <v>Client359</v>
      </c>
      <c r="F359" t="str">
        <f t="shared" si="17"/>
        <v>BOB359</v>
      </c>
      <c r="G359" t="s">
        <v>30</v>
      </c>
      <c r="H359" t="s">
        <v>22</v>
      </c>
      <c r="I359" s="11">
        <v>0</v>
      </c>
      <c r="J359" s="11">
        <v>4116000</v>
      </c>
    </row>
    <row r="360" spans="1:10" x14ac:dyDescent="0.3">
      <c r="A360" s="10">
        <v>46020</v>
      </c>
      <c r="B360" t="s">
        <v>19</v>
      </c>
      <c r="C360" t="s">
        <v>29</v>
      </c>
      <c r="D360" t="str">
        <f t="shared" si="15"/>
        <v>342856178360</v>
      </c>
      <c r="E360" t="str">
        <f t="shared" si="16"/>
        <v>Client360</v>
      </c>
      <c r="F360" t="str">
        <f t="shared" si="17"/>
        <v>BOB360</v>
      </c>
      <c r="G360" t="s">
        <v>30</v>
      </c>
      <c r="H360" t="s">
        <v>22</v>
      </c>
      <c r="I360" s="11">
        <v>0</v>
      </c>
      <c r="J360" s="11">
        <v>903000</v>
      </c>
    </row>
    <row r="361" spans="1:10" x14ac:dyDescent="0.3">
      <c r="A361" s="10">
        <v>46020</v>
      </c>
      <c r="B361" t="s">
        <v>19</v>
      </c>
      <c r="C361" t="s">
        <v>29</v>
      </c>
      <c r="D361" t="str">
        <f t="shared" si="15"/>
        <v>342856178361</v>
      </c>
      <c r="E361" t="str">
        <f t="shared" si="16"/>
        <v>Client361</v>
      </c>
      <c r="F361" t="str">
        <f t="shared" si="17"/>
        <v>BOB361</v>
      </c>
      <c r="G361" t="s">
        <v>30</v>
      </c>
      <c r="H361" t="s">
        <v>22</v>
      </c>
      <c r="I361" s="11">
        <v>0</v>
      </c>
      <c r="J361" s="11">
        <v>5030000</v>
      </c>
    </row>
    <row r="362" spans="1:10" x14ac:dyDescent="0.3">
      <c r="A362" s="10">
        <v>46020</v>
      </c>
      <c r="B362" t="s">
        <v>19</v>
      </c>
      <c r="C362" t="s">
        <v>29</v>
      </c>
      <c r="D362" t="str">
        <f t="shared" si="15"/>
        <v>342856178362</v>
      </c>
      <c r="E362" t="str">
        <f t="shared" si="16"/>
        <v>Client362</v>
      </c>
      <c r="F362" t="str">
        <f t="shared" si="17"/>
        <v>BOB362</v>
      </c>
      <c r="G362" t="s">
        <v>30</v>
      </c>
      <c r="H362" t="s">
        <v>22</v>
      </c>
      <c r="I362" s="11">
        <v>0</v>
      </c>
      <c r="J362" s="11">
        <v>3000000</v>
      </c>
    </row>
    <row r="363" spans="1:10" x14ac:dyDescent="0.3">
      <c r="A363" s="10">
        <v>46020</v>
      </c>
      <c r="B363" t="s">
        <v>19</v>
      </c>
      <c r="C363" t="s">
        <v>29</v>
      </c>
      <c r="D363" t="str">
        <f t="shared" si="15"/>
        <v>342856178363</v>
      </c>
      <c r="E363" t="str">
        <f t="shared" si="16"/>
        <v>Client363</v>
      </c>
      <c r="F363" t="str">
        <f t="shared" si="17"/>
        <v>BOB363</v>
      </c>
      <c r="G363" t="s">
        <v>30</v>
      </c>
      <c r="H363" t="s">
        <v>22</v>
      </c>
      <c r="I363" s="11">
        <v>0</v>
      </c>
      <c r="J363" s="11">
        <v>853000</v>
      </c>
    </row>
    <row r="364" spans="1:10" x14ac:dyDescent="0.3">
      <c r="A364" s="10">
        <v>46020</v>
      </c>
      <c r="B364" t="s">
        <v>19</v>
      </c>
      <c r="C364" t="s">
        <v>29</v>
      </c>
      <c r="D364" t="str">
        <f t="shared" si="15"/>
        <v>342856178364</v>
      </c>
      <c r="E364" t="str">
        <f t="shared" si="16"/>
        <v>Client364</v>
      </c>
      <c r="F364" t="str">
        <f t="shared" si="17"/>
        <v>BOB364</v>
      </c>
      <c r="G364" t="s">
        <v>30</v>
      </c>
      <c r="H364" t="s">
        <v>22</v>
      </c>
      <c r="I364" s="11">
        <v>0</v>
      </c>
      <c r="J364" s="11">
        <v>1003000</v>
      </c>
    </row>
    <row r="365" spans="1:10" x14ac:dyDescent="0.3">
      <c r="A365" s="10">
        <v>46020</v>
      </c>
      <c r="B365" t="s">
        <v>19</v>
      </c>
      <c r="C365" t="s">
        <v>29</v>
      </c>
      <c r="D365" t="str">
        <f t="shared" si="15"/>
        <v>342856178365</v>
      </c>
      <c r="E365" t="str">
        <f t="shared" si="16"/>
        <v>Client365</v>
      </c>
      <c r="F365" t="str">
        <f t="shared" si="17"/>
        <v>BOB365</v>
      </c>
      <c r="G365" t="s">
        <v>30</v>
      </c>
      <c r="H365" t="s">
        <v>22</v>
      </c>
      <c r="I365" s="11">
        <v>0</v>
      </c>
      <c r="J365" s="11">
        <v>1003000</v>
      </c>
    </row>
    <row r="366" spans="1:10" x14ac:dyDescent="0.3">
      <c r="A366" s="10">
        <v>46020</v>
      </c>
      <c r="B366" t="s">
        <v>19</v>
      </c>
      <c r="C366" t="s">
        <v>29</v>
      </c>
      <c r="D366" t="str">
        <f t="shared" si="15"/>
        <v>342856178366</v>
      </c>
      <c r="E366" t="str">
        <f t="shared" si="16"/>
        <v>Client366</v>
      </c>
      <c r="F366" t="str">
        <f t="shared" si="17"/>
        <v>BOB366</v>
      </c>
      <c r="G366" t="s">
        <v>30</v>
      </c>
      <c r="H366" t="s">
        <v>22</v>
      </c>
      <c r="I366" s="11">
        <v>0</v>
      </c>
      <c r="J366" s="11">
        <v>2006000</v>
      </c>
    </row>
    <row r="367" spans="1:10" x14ac:dyDescent="0.3">
      <c r="A367" s="10">
        <v>46020</v>
      </c>
      <c r="B367" t="s">
        <v>19</v>
      </c>
      <c r="C367" t="s">
        <v>29</v>
      </c>
      <c r="D367" t="str">
        <f t="shared" si="15"/>
        <v>342856178367</v>
      </c>
      <c r="E367" t="str">
        <f t="shared" si="16"/>
        <v>Client367</v>
      </c>
      <c r="F367" t="str">
        <f t="shared" si="17"/>
        <v>BOB367</v>
      </c>
      <c r="G367" t="s">
        <v>30</v>
      </c>
      <c r="H367" t="s">
        <v>22</v>
      </c>
      <c r="I367" s="11">
        <v>0</v>
      </c>
      <c r="J367" s="11">
        <v>4015000</v>
      </c>
    </row>
    <row r="368" spans="1:10" x14ac:dyDescent="0.3">
      <c r="A368" s="10">
        <v>46020</v>
      </c>
      <c r="B368" t="s">
        <v>19</v>
      </c>
      <c r="C368" t="s">
        <v>41</v>
      </c>
      <c r="D368" t="str">
        <f t="shared" si="15"/>
        <v>342856178368</v>
      </c>
      <c r="E368" t="str">
        <f t="shared" si="16"/>
        <v>Client368</v>
      </c>
      <c r="F368" t="str">
        <f t="shared" si="17"/>
        <v>BOB368</v>
      </c>
      <c r="G368" t="s">
        <v>21</v>
      </c>
      <c r="H368" t="s">
        <v>22</v>
      </c>
      <c r="I368" s="11">
        <v>0</v>
      </c>
      <c r="J368" s="11">
        <v>1800000</v>
      </c>
    </row>
    <row r="369" spans="1:10" x14ac:dyDescent="0.3">
      <c r="A369" s="10">
        <v>46020</v>
      </c>
      <c r="B369" t="s">
        <v>19</v>
      </c>
      <c r="C369" t="s">
        <v>41</v>
      </c>
      <c r="D369" t="str">
        <f t="shared" si="15"/>
        <v>342856178369</v>
      </c>
      <c r="E369" t="str">
        <f t="shared" si="16"/>
        <v>Client369</v>
      </c>
      <c r="F369" t="str">
        <f t="shared" si="17"/>
        <v>BOB369</v>
      </c>
      <c r="G369" t="s">
        <v>21</v>
      </c>
      <c r="H369" t="s">
        <v>22</v>
      </c>
      <c r="I369" s="11">
        <v>0</v>
      </c>
      <c r="J369" s="11">
        <v>6279400</v>
      </c>
    </row>
    <row r="370" spans="1:10" x14ac:dyDescent="0.3">
      <c r="A370" s="10">
        <v>46020</v>
      </c>
      <c r="B370" t="s">
        <v>19</v>
      </c>
      <c r="C370" t="s">
        <v>42</v>
      </c>
      <c r="D370" t="str">
        <f t="shared" si="15"/>
        <v>342856178370</v>
      </c>
      <c r="E370" t="str">
        <f t="shared" si="16"/>
        <v>Client370</v>
      </c>
      <c r="F370" t="str">
        <f t="shared" si="17"/>
        <v>BOB370</v>
      </c>
      <c r="G370" t="s">
        <v>21</v>
      </c>
      <c r="H370" t="s">
        <v>22</v>
      </c>
      <c r="I370" s="11">
        <v>0</v>
      </c>
      <c r="J370" s="11">
        <v>2500000</v>
      </c>
    </row>
    <row r="371" spans="1:10" x14ac:dyDescent="0.3">
      <c r="A371" s="10">
        <v>46020</v>
      </c>
      <c r="B371" t="s">
        <v>19</v>
      </c>
      <c r="C371" t="s">
        <v>42</v>
      </c>
      <c r="D371" t="str">
        <f t="shared" si="15"/>
        <v>342856178371</v>
      </c>
      <c r="E371" t="str">
        <f t="shared" si="16"/>
        <v>Client371</v>
      </c>
      <c r="F371" t="str">
        <f t="shared" si="17"/>
        <v>BOB371</v>
      </c>
      <c r="G371" t="s">
        <v>21</v>
      </c>
      <c r="H371" t="s">
        <v>22</v>
      </c>
      <c r="I371" s="11">
        <v>0</v>
      </c>
      <c r="J371" s="11">
        <v>2000000</v>
      </c>
    </row>
    <row r="372" spans="1:10" x14ac:dyDescent="0.3">
      <c r="A372" s="10">
        <v>46020</v>
      </c>
      <c r="B372" t="s">
        <v>19</v>
      </c>
      <c r="C372" t="s">
        <v>42</v>
      </c>
      <c r="D372" t="str">
        <f t="shared" si="15"/>
        <v>342856178372</v>
      </c>
      <c r="E372" t="str">
        <f t="shared" si="16"/>
        <v>Client372</v>
      </c>
      <c r="F372" t="str">
        <f t="shared" si="17"/>
        <v>BOB372</v>
      </c>
      <c r="G372" t="s">
        <v>21</v>
      </c>
      <c r="H372" t="s">
        <v>22</v>
      </c>
      <c r="I372" s="11">
        <v>0</v>
      </c>
      <c r="J372" s="11">
        <v>2000000</v>
      </c>
    </row>
    <row r="373" spans="1:10" x14ac:dyDescent="0.3">
      <c r="A373" s="10">
        <v>46020</v>
      </c>
      <c r="B373" t="s">
        <v>19</v>
      </c>
      <c r="C373" t="s">
        <v>42</v>
      </c>
      <c r="D373" t="str">
        <f t="shared" si="15"/>
        <v>342856178373</v>
      </c>
      <c r="E373" t="str">
        <f t="shared" si="16"/>
        <v>Client373</v>
      </c>
      <c r="F373" t="str">
        <f t="shared" si="17"/>
        <v>BOB373</v>
      </c>
      <c r="G373" t="s">
        <v>21</v>
      </c>
      <c r="H373" t="s">
        <v>22</v>
      </c>
      <c r="I373" s="11">
        <v>0</v>
      </c>
      <c r="J373" s="11">
        <v>2000000</v>
      </c>
    </row>
    <row r="374" spans="1:10" x14ac:dyDescent="0.3">
      <c r="A374" s="10">
        <v>46020</v>
      </c>
      <c r="B374" t="s">
        <v>19</v>
      </c>
      <c r="C374" t="s">
        <v>42</v>
      </c>
      <c r="D374" t="str">
        <f t="shared" si="15"/>
        <v>342856178374</v>
      </c>
      <c r="E374" t="str">
        <f t="shared" si="16"/>
        <v>Client374</v>
      </c>
      <c r="F374" t="str">
        <f t="shared" si="17"/>
        <v>BOB374</v>
      </c>
      <c r="G374" t="s">
        <v>21</v>
      </c>
      <c r="H374" t="s">
        <v>22</v>
      </c>
      <c r="I374" s="11">
        <v>0</v>
      </c>
      <c r="J374" s="11">
        <v>2000000</v>
      </c>
    </row>
    <row r="375" spans="1:10" x14ac:dyDescent="0.3">
      <c r="A375" s="10">
        <v>46020</v>
      </c>
      <c r="B375" t="s">
        <v>19</v>
      </c>
      <c r="C375" t="s">
        <v>42</v>
      </c>
      <c r="D375" t="str">
        <f t="shared" si="15"/>
        <v>342856178375</v>
      </c>
      <c r="E375" t="str">
        <f t="shared" si="16"/>
        <v>Client375</v>
      </c>
      <c r="F375" t="str">
        <f t="shared" si="17"/>
        <v>BOB375</v>
      </c>
      <c r="G375" t="s">
        <v>21</v>
      </c>
      <c r="H375" t="s">
        <v>22</v>
      </c>
      <c r="I375" s="11">
        <v>0</v>
      </c>
      <c r="J375" s="11">
        <v>1000000</v>
      </c>
    </row>
    <row r="376" spans="1:10" x14ac:dyDescent="0.3">
      <c r="A376" s="10">
        <v>46020</v>
      </c>
      <c r="B376" t="s">
        <v>19</v>
      </c>
      <c r="C376" t="s">
        <v>42</v>
      </c>
      <c r="D376" t="str">
        <f t="shared" si="15"/>
        <v>342856178376</v>
      </c>
      <c r="E376" t="str">
        <f t="shared" si="16"/>
        <v>Client376</v>
      </c>
      <c r="F376" t="str">
        <f t="shared" si="17"/>
        <v>BOB376</v>
      </c>
      <c r="G376" t="s">
        <v>21</v>
      </c>
      <c r="H376" t="s">
        <v>22</v>
      </c>
      <c r="I376" s="11">
        <v>0</v>
      </c>
      <c r="J376" s="11">
        <v>900000</v>
      </c>
    </row>
    <row r="377" spans="1:10" x14ac:dyDescent="0.3">
      <c r="A377" s="10">
        <v>46020</v>
      </c>
      <c r="B377" t="s">
        <v>19</v>
      </c>
      <c r="C377" t="s">
        <v>25</v>
      </c>
      <c r="D377" t="str">
        <f t="shared" si="15"/>
        <v>342856178377</v>
      </c>
      <c r="E377" t="str">
        <f t="shared" si="16"/>
        <v>Client377</v>
      </c>
      <c r="F377" t="str">
        <f t="shared" si="17"/>
        <v>BOB377</v>
      </c>
      <c r="G377" t="s">
        <v>26</v>
      </c>
      <c r="H377" t="s">
        <v>27</v>
      </c>
      <c r="I377" s="11">
        <v>0</v>
      </c>
      <c r="J377" s="11">
        <v>1401400</v>
      </c>
    </row>
    <row r="378" spans="1:10" x14ac:dyDescent="0.3">
      <c r="A378" s="10">
        <v>46020</v>
      </c>
      <c r="B378" t="s">
        <v>19</v>
      </c>
      <c r="C378" t="s">
        <v>25</v>
      </c>
      <c r="D378" t="str">
        <f t="shared" si="15"/>
        <v>342856178378</v>
      </c>
      <c r="E378" t="str">
        <f t="shared" si="16"/>
        <v>Client378</v>
      </c>
      <c r="F378" t="str">
        <f t="shared" si="17"/>
        <v>BOB378</v>
      </c>
      <c r="G378" t="s">
        <v>26</v>
      </c>
      <c r="H378" t="s">
        <v>27</v>
      </c>
      <c r="I378" s="11">
        <v>0</v>
      </c>
      <c r="J378" s="11">
        <v>2302300</v>
      </c>
    </row>
    <row r="379" spans="1:10" x14ac:dyDescent="0.3">
      <c r="A379" s="10">
        <v>46020</v>
      </c>
      <c r="B379" t="s">
        <v>19</v>
      </c>
      <c r="C379" t="s">
        <v>25</v>
      </c>
      <c r="D379" t="str">
        <f t="shared" si="15"/>
        <v>342856178379</v>
      </c>
      <c r="E379" t="str">
        <f t="shared" si="16"/>
        <v>Client379</v>
      </c>
      <c r="F379" t="str">
        <f t="shared" si="17"/>
        <v>BOB379</v>
      </c>
      <c r="G379" t="s">
        <v>26</v>
      </c>
      <c r="H379" t="s">
        <v>27</v>
      </c>
      <c r="I379" s="11">
        <v>0</v>
      </c>
      <c r="J379" s="11">
        <v>3503500</v>
      </c>
    </row>
    <row r="380" spans="1:10" x14ac:dyDescent="0.3">
      <c r="A380" s="10">
        <v>46020</v>
      </c>
      <c r="B380" t="s">
        <v>19</v>
      </c>
      <c r="C380" t="s">
        <v>25</v>
      </c>
      <c r="D380" t="str">
        <f t="shared" si="15"/>
        <v>342856178380</v>
      </c>
      <c r="E380" t="str">
        <f t="shared" si="16"/>
        <v>Client380</v>
      </c>
      <c r="F380" t="str">
        <f t="shared" si="17"/>
        <v>BOB380</v>
      </c>
      <c r="G380" t="s">
        <v>26</v>
      </c>
      <c r="H380" t="s">
        <v>27</v>
      </c>
      <c r="I380" s="11">
        <v>0</v>
      </c>
      <c r="J380" s="11">
        <v>1001000</v>
      </c>
    </row>
    <row r="381" spans="1:10" x14ac:dyDescent="0.3">
      <c r="A381" s="10">
        <v>46020</v>
      </c>
      <c r="B381" t="s">
        <v>19</v>
      </c>
      <c r="C381" t="s">
        <v>25</v>
      </c>
      <c r="D381" t="str">
        <f t="shared" si="15"/>
        <v>342856178381</v>
      </c>
      <c r="E381" t="str">
        <f t="shared" si="16"/>
        <v>Client381</v>
      </c>
      <c r="F381" t="str">
        <f t="shared" si="17"/>
        <v>BOB381</v>
      </c>
      <c r="G381" t="s">
        <v>26</v>
      </c>
      <c r="H381" t="s">
        <v>27</v>
      </c>
      <c r="I381" s="11">
        <v>0</v>
      </c>
      <c r="J381" s="11">
        <v>14014000</v>
      </c>
    </row>
    <row r="382" spans="1:10" x14ac:dyDescent="0.3">
      <c r="A382" s="10">
        <v>46020</v>
      </c>
      <c r="B382" t="s">
        <v>19</v>
      </c>
      <c r="C382" t="s">
        <v>25</v>
      </c>
      <c r="D382" t="str">
        <f t="shared" si="15"/>
        <v>342856178382</v>
      </c>
      <c r="E382" t="str">
        <f t="shared" si="16"/>
        <v>Client382</v>
      </c>
      <c r="F382" t="str">
        <f t="shared" si="17"/>
        <v>BOB382</v>
      </c>
      <c r="G382" t="s">
        <v>26</v>
      </c>
      <c r="H382" t="s">
        <v>27</v>
      </c>
      <c r="I382" s="11">
        <v>0</v>
      </c>
      <c r="J382" s="11">
        <v>300400</v>
      </c>
    </row>
    <row r="383" spans="1:10" x14ac:dyDescent="0.3">
      <c r="A383" s="10">
        <v>46020</v>
      </c>
      <c r="B383" t="s">
        <v>19</v>
      </c>
      <c r="C383" t="s">
        <v>25</v>
      </c>
      <c r="D383" t="str">
        <f t="shared" si="15"/>
        <v>342856178383</v>
      </c>
      <c r="E383" t="str">
        <f t="shared" si="16"/>
        <v>Client383</v>
      </c>
      <c r="F383" t="str">
        <f t="shared" si="17"/>
        <v>BOB383</v>
      </c>
      <c r="G383" t="s">
        <v>26</v>
      </c>
      <c r="H383" t="s">
        <v>27</v>
      </c>
      <c r="I383" s="11">
        <v>0</v>
      </c>
      <c r="J383" s="11">
        <v>5500000</v>
      </c>
    </row>
    <row r="384" spans="1:10" x14ac:dyDescent="0.3">
      <c r="A384" s="10">
        <v>46020</v>
      </c>
      <c r="B384" t="s">
        <v>19</v>
      </c>
      <c r="C384" t="s">
        <v>25</v>
      </c>
      <c r="D384" t="str">
        <f t="shared" si="15"/>
        <v>342856178384</v>
      </c>
      <c r="E384" t="str">
        <f t="shared" si="16"/>
        <v>Client384</v>
      </c>
      <c r="F384" t="str">
        <f t="shared" si="17"/>
        <v>BOB384</v>
      </c>
      <c r="G384" t="s">
        <v>26</v>
      </c>
      <c r="H384" t="s">
        <v>27</v>
      </c>
      <c r="I384" s="11">
        <v>0</v>
      </c>
      <c r="J384" s="11">
        <v>500500</v>
      </c>
    </row>
    <row r="385" spans="1:10" x14ac:dyDescent="0.3">
      <c r="A385" s="10">
        <v>46020</v>
      </c>
      <c r="B385" t="s">
        <v>19</v>
      </c>
      <c r="C385" t="s">
        <v>25</v>
      </c>
      <c r="D385" t="str">
        <f t="shared" si="15"/>
        <v>342856178385</v>
      </c>
      <c r="E385" t="str">
        <f t="shared" si="16"/>
        <v>Client385</v>
      </c>
      <c r="F385" t="str">
        <f t="shared" si="17"/>
        <v>BOB385</v>
      </c>
      <c r="G385" t="s">
        <v>26</v>
      </c>
      <c r="H385" t="s">
        <v>27</v>
      </c>
      <c r="I385" s="11">
        <v>0</v>
      </c>
      <c r="J385" s="11">
        <v>2000000</v>
      </c>
    </row>
    <row r="386" spans="1:10" x14ac:dyDescent="0.3">
      <c r="A386" s="10">
        <v>46020</v>
      </c>
      <c r="B386" t="s">
        <v>19</v>
      </c>
      <c r="C386" t="s">
        <v>25</v>
      </c>
      <c r="D386" t="str">
        <f t="shared" ref="D386:D434" si="18" xml:space="preserve"> "342856178" &amp; ROW()</f>
        <v>342856178386</v>
      </c>
      <c r="E386" t="str">
        <f t="shared" si="16"/>
        <v>Client386</v>
      </c>
      <c r="F386" t="str">
        <f t="shared" si="17"/>
        <v>BOB386</v>
      </c>
      <c r="G386" t="s">
        <v>26</v>
      </c>
      <c r="H386" t="s">
        <v>27</v>
      </c>
      <c r="I386" s="11">
        <v>0</v>
      </c>
      <c r="J386" s="11">
        <v>1001000</v>
      </c>
    </row>
    <row r="387" spans="1:10" x14ac:dyDescent="0.3">
      <c r="A387" s="10">
        <v>46020</v>
      </c>
      <c r="B387" t="s">
        <v>19</v>
      </c>
      <c r="C387" t="s">
        <v>25</v>
      </c>
      <c r="D387" t="str">
        <f t="shared" si="18"/>
        <v>342856178387</v>
      </c>
      <c r="E387" t="str">
        <f t="shared" ref="E387:E433" si="19">"Client"  &amp; ROW()</f>
        <v>Client387</v>
      </c>
      <c r="F387" t="str">
        <f t="shared" ref="F387:F433" si="20">"BOB"&amp;ROW()</f>
        <v>BOB387</v>
      </c>
      <c r="G387" t="s">
        <v>26</v>
      </c>
      <c r="H387" t="s">
        <v>27</v>
      </c>
      <c r="I387" s="11">
        <v>0</v>
      </c>
      <c r="J387" s="11">
        <v>2402400</v>
      </c>
    </row>
    <row r="388" spans="1:10" x14ac:dyDescent="0.3">
      <c r="A388" s="10">
        <v>46020</v>
      </c>
      <c r="B388" t="s">
        <v>19</v>
      </c>
      <c r="C388" t="s">
        <v>25</v>
      </c>
      <c r="D388" t="str">
        <f t="shared" si="18"/>
        <v>342856178388</v>
      </c>
      <c r="E388" t="str">
        <f t="shared" si="19"/>
        <v>Client388</v>
      </c>
      <c r="F388" t="str">
        <f t="shared" si="20"/>
        <v>BOB388</v>
      </c>
      <c r="G388" t="s">
        <v>26</v>
      </c>
      <c r="H388" t="s">
        <v>27</v>
      </c>
      <c r="I388" s="11">
        <v>0</v>
      </c>
      <c r="J388" s="11">
        <v>3003000</v>
      </c>
    </row>
    <row r="389" spans="1:10" x14ac:dyDescent="0.3">
      <c r="A389" s="10">
        <v>46020</v>
      </c>
      <c r="B389" t="s">
        <v>19</v>
      </c>
      <c r="C389" t="s">
        <v>25</v>
      </c>
      <c r="D389" t="str">
        <f t="shared" si="18"/>
        <v>342856178389</v>
      </c>
      <c r="E389" t="str">
        <f t="shared" si="19"/>
        <v>Client389</v>
      </c>
      <c r="F389" t="str">
        <f t="shared" si="20"/>
        <v>BOB389</v>
      </c>
      <c r="G389" t="s">
        <v>26</v>
      </c>
      <c r="H389" t="s">
        <v>27</v>
      </c>
      <c r="I389" s="11">
        <v>0</v>
      </c>
      <c r="J389" s="11">
        <v>9009000</v>
      </c>
    </row>
    <row r="390" spans="1:10" x14ac:dyDescent="0.3">
      <c r="A390" s="10">
        <v>46020</v>
      </c>
      <c r="B390" t="s">
        <v>19</v>
      </c>
      <c r="C390" t="s">
        <v>25</v>
      </c>
      <c r="D390" t="str">
        <f t="shared" si="18"/>
        <v>342856178390</v>
      </c>
      <c r="E390" t="str">
        <f t="shared" si="19"/>
        <v>Client390</v>
      </c>
      <c r="F390" t="str">
        <f t="shared" si="20"/>
        <v>BOB390</v>
      </c>
      <c r="G390" t="s">
        <v>26</v>
      </c>
      <c r="H390" t="s">
        <v>27</v>
      </c>
      <c r="I390" s="11">
        <v>0</v>
      </c>
      <c r="J390" s="11">
        <v>2002000</v>
      </c>
    </row>
    <row r="391" spans="1:10" x14ac:dyDescent="0.3">
      <c r="A391" s="10">
        <v>46020</v>
      </c>
      <c r="B391" t="s">
        <v>19</v>
      </c>
      <c r="C391" t="s">
        <v>25</v>
      </c>
      <c r="D391" t="str">
        <f t="shared" si="18"/>
        <v>342856178391</v>
      </c>
      <c r="E391" t="str">
        <f t="shared" si="19"/>
        <v>Client391</v>
      </c>
      <c r="F391" t="str">
        <f t="shared" si="20"/>
        <v>BOB391</v>
      </c>
      <c r="G391" t="s">
        <v>26</v>
      </c>
      <c r="H391" t="s">
        <v>27</v>
      </c>
      <c r="I391" s="11">
        <v>0</v>
      </c>
      <c r="J391" s="11">
        <v>400000</v>
      </c>
    </row>
    <row r="392" spans="1:10" x14ac:dyDescent="0.3">
      <c r="A392" s="10">
        <v>46020</v>
      </c>
      <c r="B392" t="s">
        <v>19</v>
      </c>
      <c r="C392" t="s">
        <v>25</v>
      </c>
      <c r="D392" t="str">
        <f t="shared" si="18"/>
        <v>342856178392</v>
      </c>
      <c r="E392" t="str">
        <f t="shared" si="19"/>
        <v>Client392</v>
      </c>
      <c r="F392" t="str">
        <f t="shared" si="20"/>
        <v>BOB392</v>
      </c>
      <c r="G392" t="s">
        <v>26</v>
      </c>
      <c r="H392" t="s">
        <v>27</v>
      </c>
      <c r="I392" s="11">
        <v>0</v>
      </c>
      <c r="J392" s="11">
        <v>1001000</v>
      </c>
    </row>
    <row r="393" spans="1:10" x14ac:dyDescent="0.3">
      <c r="A393" s="10">
        <v>46020</v>
      </c>
      <c r="B393" t="s">
        <v>19</v>
      </c>
      <c r="C393" t="s">
        <v>25</v>
      </c>
      <c r="D393" t="str">
        <f t="shared" si="18"/>
        <v>342856178393</v>
      </c>
      <c r="E393" t="str">
        <f t="shared" si="19"/>
        <v>Client393</v>
      </c>
      <c r="F393" t="str">
        <f t="shared" si="20"/>
        <v>BOB393</v>
      </c>
      <c r="G393" t="s">
        <v>26</v>
      </c>
      <c r="H393" t="s">
        <v>27</v>
      </c>
      <c r="I393" s="11">
        <v>0</v>
      </c>
      <c r="J393" s="11">
        <v>3503500</v>
      </c>
    </row>
    <row r="394" spans="1:10" x14ac:dyDescent="0.3">
      <c r="A394" s="10">
        <v>46020</v>
      </c>
      <c r="B394" t="s">
        <v>19</v>
      </c>
      <c r="C394" t="s">
        <v>25</v>
      </c>
      <c r="D394" t="str">
        <f t="shared" si="18"/>
        <v>342856178394</v>
      </c>
      <c r="E394" t="str">
        <f t="shared" si="19"/>
        <v>Client394</v>
      </c>
      <c r="F394" t="str">
        <f t="shared" si="20"/>
        <v>BOB394</v>
      </c>
      <c r="G394" t="s">
        <v>26</v>
      </c>
      <c r="H394" t="s">
        <v>27</v>
      </c>
      <c r="I394" s="11">
        <v>0</v>
      </c>
      <c r="J394" s="11">
        <v>2002000</v>
      </c>
    </row>
    <row r="395" spans="1:10" x14ac:dyDescent="0.3">
      <c r="A395" s="10">
        <v>46020</v>
      </c>
      <c r="B395" t="s">
        <v>19</v>
      </c>
      <c r="C395" t="s">
        <v>25</v>
      </c>
      <c r="D395" t="str">
        <f t="shared" si="18"/>
        <v>342856178395</v>
      </c>
      <c r="E395" t="str">
        <f t="shared" si="19"/>
        <v>Client395</v>
      </c>
      <c r="F395" t="str">
        <f t="shared" si="20"/>
        <v>BOB395</v>
      </c>
      <c r="G395" t="s">
        <v>26</v>
      </c>
      <c r="H395" t="s">
        <v>27</v>
      </c>
      <c r="I395" s="11">
        <v>0</v>
      </c>
      <c r="J395" s="11">
        <v>1201200</v>
      </c>
    </row>
    <row r="396" spans="1:10" x14ac:dyDescent="0.3">
      <c r="A396" s="10">
        <v>46020</v>
      </c>
      <c r="B396" t="s">
        <v>19</v>
      </c>
      <c r="C396" t="s">
        <v>25</v>
      </c>
      <c r="D396" t="str">
        <f t="shared" si="18"/>
        <v>342856178396</v>
      </c>
      <c r="E396" t="str">
        <f t="shared" si="19"/>
        <v>Client396</v>
      </c>
      <c r="F396" t="str">
        <f t="shared" si="20"/>
        <v>BOB396</v>
      </c>
      <c r="G396" t="s">
        <v>26</v>
      </c>
      <c r="H396" t="s">
        <v>27</v>
      </c>
      <c r="I396" s="11">
        <v>0</v>
      </c>
      <c r="J396" s="11">
        <v>400400</v>
      </c>
    </row>
    <row r="397" spans="1:10" x14ac:dyDescent="0.3">
      <c r="A397" s="10">
        <v>46020</v>
      </c>
      <c r="B397" t="s">
        <v>19</v>
      </c>
      <c r="C397" t="s">
        <v>25</v>
      </c>
      <c r="D397" t="str">
        <f t="shared" si="18"/>
        <v>342856178397</v>
      </c>
      <c r="E397" t="str">
        <f t="shared" si="19"/>
        <v>Client397</v>
      </c>
      <c r="F397" t="str">
        <f t="shared" si="20"/>
        <v>BOB397</v>
      </c>
      <c r="G397" t="s">
        <v>26</v>
      </c>
      <c r="H397" t="s">
        <v>27</v>
      </c>
      <c r="I397" s="11">
        <v>0</v>
      </c>
      <c r="J397" s="11">
        <v>12000000</v>
      </c>
    </row>
    <row r="398" spans="1:10" x14ac:dyDescent="0.3">
      <c r="A398" s="10">
        <v>46020</v>
      </c>
      <c r="B398" t="s">
        <v>19</v>
      </c>
      <c r="C398" t="s">
        <v>25</v>
      </c>
      <c r="D398" t="str">
        <f t="shared" si="18"/>
        <v>342856178398</v>
      </c>
      <c r="E398" t="str">
        <f t="shared" si="19"/>
        <v>Client398</v>
      </c>
      <c r="F398" t="str">
        <f t="shared" si="20"/>
        <v>BOB398</v>
      </c>
      <c r="G398" t="s">
        <v>26</v>
      </c>
      <c r="H398" t="s">
        <v>27</v>
      </c>
      <c r="I398" s="11">
        <v>0</v>
      </c>
      <c r="J398" s="11">
        <v>2502500</v>
      </c>
    </row>
    <row r="399" spans="1:10" x14ac:dyDescent="0.3">
      <c r="A399" s="10">
        <v>46020</v>
      </c>
      <c r="B399" t="s">
        <v>19</v>
      </c>
      <c r="C399" t="s">
        <v>25</v>
      </c>
      <c r="D399" t="str">
        <f t="shared" si="18"/>
        <v>342856178399</v>
      </c>
      <c r="E399" t="str">
        <f t="shared" si="19"/>
        <v>Client399</v>
      </c>
      <c r="F399" t="str">
        <f t="shared" si="20"/>
        <v>BOB399</v>
      </c>
      <c r="G399" t="s">
        <v>26</v>
      </c>
      <c r="H399" t="s">
        <v>27</v>
      </c>
      <c r="I399" s="11">
        <v>0</v>
      </c>
      <c r="J399" s="11">
        <v>2002000</v>
      </c>
    </row>
    <row r="400" spans="1:10" x14ac:dyDescent="0.3">
      <c r="A400" s="10">
        <v>46020</v>
      </c>
      <c r="B400" t="s">
        <v>19</v>
      </c>
      <c r="C400" t="s">
        <v>25</v>
      </c>
      <c r="D400" t="str">
        <f t="shared" si="18"/>
        <v>342856178400</v>
      </c>
      <c r="E400" t="str">
        <f t="shared" si="19"/>
        <v>Client400</v>
      </c>
      <c r="F400" t="str">
        <f t="shared" si="20"/>
        <v>BOB400</v>
      </c>
      <c r="G400" t="s">
        <v>26</v>
      </c>
      <c r="H400" t="s">
        <v>27</v>
      </c>
      <c r="I400" s="11">
        <v>0</v>
      </c>
      <c r="J400" s="11">
        <v>500500</v>
      </c>
    </row>
    <row r="401" spans="1:10" x14ac:dyDescent="0.3">
      <c r="A401" s="10">
        <v>46020</v>
      </c>
      <c r="B401" t="s">
        <v>19</v>
      </c>
      <c r="C401" t="s">
        <v>25</v>
      </c>
      <c r="D401" t="str">
        <f t="shared" si="18"/>
        <v>342856178401</v>
      </c>
      <c r="E401" t="str">
        <f t="shared" si="19"/>
        <v>Client401</v>
      </c>
      <c r="F401" t="str">
        <f t="shared" si="20"/>
        <v>BOB401</v>
      </c>
      <c r="G401" t="s">
        <v>26</v>
      </c>
      <c r="H401" t="s">
        <v>27</v>
      </c>
      <c r="I401" s="11">
        <v>0</v>
      </c>
      <c r="J401" s="11">
        <v>600600</v>
      </c>
    </row>
    <row r="402" spans="1:10" x14ac:dyDescent="0.3">
      <c r="A402" s="10">
        <v>46020</v>
      </c>
      <c r="B402" t="s">
        <v>19</v>
      </c>
      <c r="C402" t="s">
        <v>25</v>
      </c>
      <c r="D402" t="str">
        <f t="shared" si="18"/>
        <v>342856178402</v>
      </c>
      <c r="E402" t="str">
        <f t="shared" si="19"/>
        <v>Client402</v>
      </c>
      <c r="F402" t="str">
        <f t="shared" si="20"/>
        <v>BOB402</v>
      </c>
      <c r="G402" t="s">
        <v>26</v>
      </c>
      <c r="H402" t="s">
        <v>27</v>
      </c>
      <c r="I402" s="11">
        <v>0</v>
      </c>
      <c r="J402" s="11">
        <v>3403400</v>
      </c>
    </row>
    <row r="403" spans="1:10" x14ac:dyDescent="0.3">
      <c r="A403" s="10">
        <v>46020</v>
      </c>
      <c r="B403" t="s">
        <v>19</v>
      </c>
      <c r="C403" t="s">
        <v>25</v>
      </c>
      <c r="D403" t="str">
        <f t="shared" si="18"/>
        <v>342856178403</v>
      </c>
      <c r="E403" t="str">
        <f t="shared" si="19"/>
        <v>Client403</v>
      </c>
      <c r="F403" t="str">
        <f t="shared" si="20"/>
        <v>BOB403</v>
      </c>
      <c r="G403" t="s">
        <v>26</v>
      </c>
      <c r="H403" t="s">
        <v>27</v>
      </c>
      <c r="I403" s="11">
        <v>0</v>
      </c>
      <c r="J403" s="11">
        <v>800800</v>
      </c>
    </row>
    <row r="404" spans="1:10" x14ac:dyDescent="0.3">
      <c r="A404" s="10">
        <v>46020</v>
      </c>
      <c r="B404" t="s">
        <v>19</v>
      </c>
      <c r="C404" t="s">
        <v>25</v>
      </c>
      <c r="D404" t="str">
        <f t="shared" si="18"/>
        <v>342856178404</v>
      </c>
      <c r="E404" t="str">
        <f t="shared" si="19"/>
        <v>Client404</v>
      </c>
      <c r="F404" t="str">
        <f t="shared" si="20"/>
        <v>BOB404</v>
      </c>
      <c r="G404" t="s">
        <v>26</v>
      </c>
      <c r="H404" t="s">
        <v>27</v>
      </c>
      <c r="I404" s="11">
        <v>0</v>
      </c>
      <c r="J404" s="11">
        <v>5005000</v>
      </c>
    </row>
    <row r="405" spans="1:10" x14ac:dyDescent="0.3">
      <c r="A405" s="10">
        <v>46020</v>
      </c>
      <c r="B405" t="s">
        <v>19</v>
      </c>
      <c r="C405" t="s">
        <v>25</v>
      </c>
      <c r="D405" t="str">
        <f t="shared" si="18"/>
        <v>342856178405</v>
      </c>
      <c r="E405" t="str">
        <f t="shared" si="19"/>
        <v>Client405</v>
      </c>
      <c r="F405" t="str">
        <f t="shared" si="20"/>
        <v>BOB405</v>
      </c>
      <c r="G405" t="s">
        <v>26</v>
      </c>
      <c r="H405" t="s">
        <v>27</v>
      </c>
      <c r="I405" s="11">
        <v>0</v>
      </c>
      <c r="J405" s="11">
        <v>2802800</v>
      </c>
    </row>
    <row r="406" spans="1:10" x14ac:dyDescent="0.3">
      <c r="A406" s="10">
        <v>46020</v>
      </c>
      <c r="B406" t="s">
        <v>19</v>
      </c>
      <c r="C406" t="s">
        <v>25</v>
      </c>
      <c r="D406" t="str">
        <f t="shared" si="18"/>
        <v>342856178406</v>
      </c>
      <c r="E406" t="str">
        <f t="shared" si="19"/>
        <v>Client406</v>
      </c>
      <c r="F406" t="str">
        <f t="shared" si="20"/>
        <v>BOB406</v>
      </c>
      <c r="G406" t="s">
        <v>26</v>
      </c>
      <c r="H406" t="s">
        <v>27</v>
      </c>
      <c r="I406" s="11">
        <v>0</v>
      </c>
      <c r="J406" s="11">
        <v>9009000</v>
      </c>
    </row>
    <row r="407" spans="1:10" x14ac:dyDescent="0.3">
      <c r="A407" s="10">
        <v>46020</v>
      </c>
      <c r="B407" t="s">
        <v>19</v>
      </c>
      <c r="C407" t="s">
        <v>25</v>
      </c>
      <c r="D407" t="str">
        <f t="shared" si="18"/>
        <v>342856178407</v>
      </c>
      <c r="E407" t="str">
        <f t="shared" si="19"/>
        <v>Client407</v>
      </c>
      <c r="F407" t="str">
        <f t="shared" si="20"/>
        <v>BOB407</v>
      </c>
      <c r="G407" t="s">
        <v>26</v>
      </c>
      <c r="H407" t="s">
        <v>27</v>
      </c>
      <c r="I407" s="11">
        <v>0</v>
      </c>
      <c r="J407" s="11">
        <v>1801800</v>
      </c>
    </row>
    <row r="408" spans="1:10" x14ac:dyDescent="0.3">
      <c r="A408" s="10">
        <v>46020</v>
      </c>
      <c r="B408" t="s">
        <v>19</v>
      </c>
      <c r="C408" t="s">
        <v>25</v>
      </c>
      <c r="D408" t="str">
        <f t="shared" si="18"/>
        <v>342856178408</v>
      </c>
      <c r="E408" t="str">
        <f t="shared" si="19"/>
        <v>Client408</v>
      </c>
      <c r="F408" t="str">
        <f t="shared" si="20"/>
        <v>BOB408</v>
      </c>
      <c r="G408" t="s">
        <v>26</v>
      </c>
      <c r="H408" t="s">
        <v>27</v>
      </c>
      <c r="I408" s="11">
        <v>0</v>
      </c>
      <c r="J408" s="11">
        <v>1301300</v>
      </c>
    </row>
    <row r="409" spans="1:10" x14ac:dyDescent="0.3">
      <c r="A409" s="10">
        <v>46020</v>
      </c>
      <c r="B409" t="s">
        <v>19</v>
      </c>
      <c r="C409" t="s">
        <v>25</v>
      </c>
      <c r="D409" t="str">
        <f t="shared" si="18"/>
        <v>342856178409</v>
      </c>
      <c r="E409" t="str">
        <f t="shared" si="19"/>
        <v>Client409</v>
      </c>
      <c r="F409" t="str">
        <f t="shared" si="20"/>
        <v>BOB409</v>
      </c>
      <c r="G409" t="s">
        <v>26</v>
      </c>
      <c r="H409" t="s">
        <v>27</v>
      </c>
      <c r="I409" s="11">
        <v>0</v>
      </c>
      <c r="J409" s="11">
        <v>6006000</v>
      </c>
    </row>
    <row r="410" spans="1:10" x14ac:dyDescent="0.3">
      <c r="A410" s="10">
        <v>46020</v>
      </c>
      <c r="B410" t="s">
        <v>19</v>
      </c>
      <c r="C410" t="s">
        <v>25</v>
      </c>
      <c r="D410" t="str">
        <f t="shared" si="18"/>
        <v>342856178410</v>
      </c>
      <c r="E410" t="str">
        <f t="shared" si="19"/>
        <v>Client410</v>
      </c>
      <c r="F410" t="str">
        <f t="shared" si="20"/>
        <v>BOB410</v>
      </c>
      <c r="G410" t="s">
        <v>26</v>
      </c>
      <c r="H410" t="s">
        <v>27</v>
      </c>
      <c r="I410" s="11">
        <v>0</v>
      </c>
      <c r="J410" s="11">
        <v>2002000</v>
      </c>
    </row>
    <row r="411" spans="1:10" x14ac:dyDescent="0.3">
      <c r="A411" s="10">
        <v>46020</v>
      </c>
      <c r="B411" t="s">
        <v>19</v>
      </c>
      <c r="C411" t="s">
        <v>25</v>
      </c>
      <c r="D411" t="str">
        <f t="shared" si="18"/>
        <v>342856178411</v>
      </c>
      <c r="E411" t="str">
        <f t="shared" si="19"/>
        <v>Client411</v>
      </c>
      <c r="F411" t="str">
        <f t="shared" si="20"/>
        <v>BOB411</v>
      </c>
      <c r="G411" t="s">
        <v>26</v>
      </c>
      <c r="H411" t="s">
        <v>27</v>
      </c>
      <c r="I411" s="11">
        <v>0</v>
      </c>
      <c r="J411" s="11">
        <v>3002000</v>
      </c>
    </row>
    <row r="412" spans="1:10" x14ac:dyDescent="0.3">
      <c r="A412" s="10">
        <v>46020</v>
      </c>
      <c r="B412" t="s">
        <v>19</v>
      </c>
      <c r="C412" t="s">
        <v>40</v>
      </c>
      <c r="D412" t="str">
        <f t="shared" si="18"/>
        <v>342856178412</v>
      </c>
      <c r="E412" t="str">
        <f t="shared" si="19"/>
        <v>Client412</v>
      </c>
      <c r="F412" t="str">
        <f t="shared" si="20"/>
        <v>BOB412</v>
      </c>
      <c r="I412" s="11">
        <v>0</v>
      </c>
      <c r="J412" s="11">
        <v>2000000</v>
      </c>
    </row>
    <row r="413" spans="1:10" x14ac:dyDescent="0.3">
      <c r="A413" s="10">
        <v>46020</v>
      </c>
      <c r="B413" t="s">
        <v>19</v>
      </c>
      <c r="C413" t="s">
        <v>40</v>
      </c>
      <c r="D413" t="str">
        <f t="shared" si="18"/>
        <v>342856178413</v>
      </c>
      <c r="E413" t="str">
        <f t="shared" si="19"/>
        <v>Client413</v>
      </c>
      <c r="F413" t="str">
        <f t="shared" si="20"/>
        <v>BOB413</v>
      </c>
      <c r="I413" s="11">
        <v>0</v>
      </c>
      <c r="J413" s="11">
        <v>2000000</v>
      </c>
    </row>
    <row r="414" spans="1:10" x14ac:dyDescent="0.3">
      <c r="A414" s="10">
        <v>46020</v>
      </c>
      <c r="B414" t="s">
        <v>19</v>
      </c>
      <c r="C414" t="s">
        <v>40</v>
      </c>
      <c r="D414" t="str">
        <f t="shared" si="18"/>
        <v>342856178414</v>
      </c>
      <c r="E414" t="str">
        <f t="shared" si="19"/>
        <v>Client414</v>
      </c>
      <c r="F414" t="str">
        <f t="shared" si="20"/>
        <v>BOB414</v>
      </c>
      <c r="I414" s="11">
        <v>0</v>
      </c>
      <c r="J414" s="11">
        <v>4400000</v>
      </c>
    </row>
    <row r="415" spans="1:10" x14ac:dyDescent="0.3">
      <c r="A415" s="10">
        <v>46020</v>
      </c>
      <c r="B415" t="s">
        <v>19</v>
      </c>
      <c r="C415" t="s">
        <v>40</v>
      </c>
      <c r="D415" t="str">
        <f t="shared" si="18"/>
        <v>342856178415</v>
      </c>
      <c r="E415" t="str">
        <f t="shared" si="19"/>
        <v>Client415</v>
      </c>
      <c r="F415" t="str">
        <f t="shared" si="20"/>
        <v>BOB415</v>
      </c>
      <c r="I415" s="11">
        <v>0</v>
      </c>
      <c r="J415" s="11">
        <v>200000</v>
      </c>
    </row>
    <row r="416" spans="1:10" x14ac:dyDescent="0.3">
      <c r="A416" s="10">
        <v>46020</v>
      </c>
      <c r="B416" t="s">
        <v>19</v>
      </c>
      <c r="C416" t="s">
        <v>40</v>
      </c>
      <c r="D416" t="str">
        <f t="shared" si="18"/>
        <v>342856178416</v>
      </c>
      <c r="E416" t="str">
        <f t="shared" si="19"/>
        <v>Client416</v>
      </c>
      <c r="F416" t="str">
        <f t="shared" si="20"/>
        <v>BOB416</v>
      </c>
      <c r="I416" s="11">
        <v>0</v>
      </c>
      <c r="J416" s="11">
        <v>980000</v>
      </c>
    </row>
    <row r="417" spans="1:10" x14ac:dyDescent="0.3">
      <c r="A417" s="10">
        <v>46020</v>
      </c>
      <c r="B417" t="s">
        <v>19</v>
      </c>
      <c r="C417" t="s">
        <v>40</v>
      </c>
      <c r="D417" t="str">
        <f t="shared" si="18"/>
        <v>342856178417</v>
      </c>
      <c r="E417" t="str">
        <f t="shared" si="19"/>
        <v>Client417</v>
      </c>
      <c r="F417" t="str">
        <f t="shared" si="20"/>
        <v>BOB417</v>
      </c>
      <c r="I417" s="11">
        <v>0</v>
      </c>
      <c r="J417" s="11">
        <v>1000000</v>
      </c>
    </row>
    <row r="418" spans="1:10" x14ac:dyDescent="0.3">
      <c r="A418" s="10">
        <v>46020</v>
      </c>
      <c r="B418" t="s">
        <v>19</v>
      </c>
      <c r="C418" t="s">
        <v>40</v>
      </c>
      <c r="D418" t="str">
        <f t="shared" si="18"/>
        <v>342856178418</v>
      </c>
      <c r="E418" t="str">
        <f t="shared" si="19"/>
        <v>Client418</v>
      </c>
      <c r="F418" t="str">
        <f t="shared" si="20"/>
        <v>BOB418</v>
      </c>
      <c r="I418" s="11">
        <v>0</v>
      </c>
      <c r="J418" s="11">
        <v>2003000</v>
      </c>
    </row>
    <row r="419" spans="1:10" x14ac:dyDescent="0.3">
      <c r="A419" s="10">
        <v>46020</v>
      </c>
      <c r="B419" t="s">
        <v>19</v>
      </c>
      <c r="C419" t="s">
        <v>40</v>
      </c>
      <c r="D419" t="str">
        <f t="shared" si="18"/>
        <v>342856178419</v>
      </c>
      <c r="E419" t="str">
        <f t="shared" si="19"/>
        <v>Client419</v>
      </c>
      <c r="F419" t="str">
        <f t="shared" si="20"/>
        <v>BOB419</v>
      </c>
      <c r="I419" s="11">
        <v>0</v>
      </c>
      <c r="J419" s="11">
        <v>2000000</v>
      </c>
    </row>
    <row r="420" spans="1:10" x14ac:dyDescent="0.3">
      <c r="A420" s="10">
        <v>46020</v>
      </c>
      <c r="B420" t="s">
        <v>19</v>
      </c>
      <c r="C420" t="s">
        <v>40</v>
      </c>
      <c r="D420" t="str">
        <f t="shared" si="18"/>
        <v>342856178420</v>
      </c>
      <c r="E420" t="str">
        <f t="shared" si="19"/>
        <v>Client420</v>
      </c>
      <c r="F420" t="str">
        <f t="shared" si="20"/>
        <v>BOB420</v>
      </c>
      <c r="I420" s="11">
        <v>0</v>
      </c>
      <c r="J420" s="11">
        <v>4600000</v>
      </c>
    </row>
    <row r="421" spans="1:10" x14ac:dyDescent="0.3">
      <c r="A421" s="10">
        <v>46020</v>
      </c>
      <c r="B421" t="s">
        <v>19</v>
      </c>
      <c r="C421" t="s">
        <v>40</v>
      </c>
      <c r="D421" t="str">
        <f t="shared" si="18"/>
        <v>342856178421</v>
      </c>
      <c r="E421" t="str">
        <f t="shared" si="19"/>
        <v>Client421</v>
      </c>
      <c r="F421" t="str">
        <f t="shared" si="20"/>
        <v>BOB421</v>
      </c>
      <c r="I421" s="11">
        <v>0</v>
      </c>
      <c r="J421" s="11">
        <v>700000</v>
      </c>
    </row>
    <row r="422" spans="1:10" x14ac:dyDescent="0.3">
      <c r="A422" s="10">
        <v>46020</v>
      </c>
      <c r="B422" t="s">
        <v>19</v>
      </c>
      <c r="C422" t="s">
        <v>40</v>
      </c>
      <c r="D422" t="str">
        <f t="shared" si="18"/>
        <v>342856178422</v>
      </c>
      <c r="E422" t="str">
        <f t="shared" si="19"/>
        <v>Client422</v>
      </c>
      <c r="F422" t="str">
        <f t="shared" si="20"/>
        <v>BOB422</v>
      </c>
      <c r="I422" s="11">
        <v>0</v>
      </c>
      <c r="J422" s="11">
        <v>3400000</v>
      </c>
    </row>
    <row r="423" spans="1:10" x14ac:dyDescent="0.3">
      <c r="A423" s="10">
        <v>46020</v>
      </c>
      <c r="B423" t="s">
        <v>19</v>
      </c>
      <c r="C423" t="s">
        <v>40</v>
      </c>
      <c r="D423" t="str">
        <f t="shared" si="18"/>
        <v>342856178423</v>
      </c>
      <c r="E423" t="str">
        <f t="shared" si="19"/>
        <v>Client423</v>
      </c>
      <c r="F423" t="str">
        <f t="shared" si="20"/>
        <v>BOB423</v>
      </c>
      <c r="I423" s="11">
        <v>0</v>
      </c>
      <c r="J423" s="11">
        <v>3000000</v>
      </c>
    </row>
    <row r="424" spans="1:10" x14ac:dyDescent="0.3">
      <c r="A424" s="10">
        <v>46020</v>
      </c>
      <c r="B424" t="s">
        <v>19</v>
      </c>
      <c r="C424" t="s">
        <v>40</v>
      </c>
      <c r="D424" t="str">
        <f t="shared" si="18"/>
        <v>342856178424</v>
      </c>
      <c r="E424" t="str">
        <f t="shared" si="19"/>
        <v>Client424</v>
      </c>
      <c r="F424" t="str">
        <f t="shared" si="20"/>
        <v>BOB424</v>
      </c>
      <c r="I424" s="11">
        <v>0</v>
      </c>
      <c r="J424" s="11">
        <v>400000</v>
      </c>
    </row>
    <row r="425" spans="1:10" x14ac:dyDescent="0.3">
      <c r="A425" s="10">
        <v>46020</v>
      </c>
      <c r="B425" t="s">
        <v>19</v>
      </c>
      <c r="C425" t="s">
        <v>40</v>
      </c>
      <c r="D425" t="str">
        <f t="shared" si="18"/>
        <v>342856178425</v>
      </c>
      <c r="E425" t="str">
        <f t="shared" si="19"/>
        <v>Client425</v>
      </c>
      <c r="F425" t="str">
        <f t="shared" si="20"/>
        <v>BOB425</v>
      </c>
      <c r="I425" s="11">
        <v>0</v>
      </c>
      <c r="J425" s="11">
        <v>1500000</v>
      </c>
    </row>
    <row r="426" spans="1:10" x14ac:dyDescent="0.3">
      <c r="A426" s="10">
        <v>46020</v>
      </c>
      <c r="B426" t="s">
        <v>19</v>
      </c>
      <c r="C426" t="s">
        <v>40</v>
      </c>
      <c r="D426" t="str">
        <f t="shared" si="18"/>
        <v>342856178426</v>
      </c>
      <c r="E426" t="str">
        <f t="shared" si="19"/>
        <v>Client426</v>
      </c>
      <c r="F426" t="str">
        <f t="shared" si="20"/>
        <v>BOB426</v>
      </c>
      <c r="I426" s="11">
        <v>0</v>
      </c>
      <c r="J426" s="11">
        <v>300000</v>
      </c>
    </row>
    <row r="427" spans="1:10" x14ac:dyDescent="0.3">
      <c r="A427" s="10">
        <v>46020</v>
      </c>
      <c r="B427" t="s">
        <v>19</v>
      </c>
      <c r="C427" t="s">
        <v>43</v>
      </c>
      <c r="D427" t="str">
        <f t="shared" si="18"/>
        <v>342856178427</v>
      </c>
      <c r="E427" t="str">
        <f t="shared" si="19"/>
        <v>Client427</v>
      </c>
      <c r="F427" t="str">
        <f t="shared" si="20"/>
        <v>BOB427</v>
      </c>
      <c r="G427" t="s">
        <v>21</v>
      </c>
      <c r="H427" t="s">
        <v>22</v>
      </c>
      <c r="I427" s="11">
        <v>0</v>
      </c>
      <c r="J427" s="11">
        <v>200000</v>
      </c>
    </row>
    <row r="428" spans="1:10" x14ac:dyDescent="0.3">
      <c r="A428" s="10">
        <v>46020</v>
      </c>
      <c r="B428" t="s">
        <v>19</v>
      </c>
      <c r="C428" t="s">
        <v>43</v>
      </c>
      <c r="D428" t="str">
        <f t="shared" si="18"/>
        <v>342856178428</v>
      </c>
      <c r="E428" t="str">
        <f t="shared" si="19"/>
        <v>Client428</v>
      </c>
      <c r="F428" t="str">
        <f t="shared" si="20"/>
        <v>BOB428</v>
      </c>
      <c r="G428" t="s">
        <v>21</v>
      </c>
      <c r="H428" t="s">
        <v>22</v>
      </c>
      <c r="I428" s="11">
        <v>0</v>
      </c>
      <c r="J428" s="11">
        <v>2900000</v>
      </c>
    </row>
    <row r="429" spans="1:10" x14ac:dyDescent="0.3">
      <c r="A429" s="10">
        <v>46020</v>
      </c>
      <c r="B429" t="s">
        <v>19</v>
      </c>
      <c r="C429" t="s">
        <v>43</v>
      </c>
      <c r="D429" t="str">
        <f t="shared" si="18"/>
        <v>342856178429</v>
      </c>
      <c r="E429" t="str">
        <f t="shared" si="19"/>
        <v>Client429</v>
      </c>
      <c r="F429" t="str">
        <f t="shared" si="20"/>
        <v>BOB429</v>
      </c>
      <c r="G429" t="s">
        <v>21</v>
      </c>
      <c r="H429" t="s">
        <v>22</v>
      </c>
      <c r="I429" s="11">
        <v>0</v>
      </c>
      <c r="J429" s="11">
        <v>650000</v>
      </c>
    </row>
    <row r="430" spans="1:10" x14ac:dyDescent="0.3">
      <c r="A430" s="10">
        <v>46020</v>
      </c>
      <c r="B430" t="s">
        <v>19</v>
      </c>
      <c r="C430" t="s">
        <v>43</v>
      </c>
      <c r="D430" t="str">
        <f t="shared" si="18"/>
        <v>342856178430</v>
      </c>
      <c r="E430" t="str">
        <f t="shared" si="19"/>
        <v>Client430</v>
      </c>
      <c r="F430" t="str">
        <f t="shared" si="20"/>
        <v>BOB430</v>
      </c>
      <c r="G430" t="s">
        <v>21</v>
      </c>
      <c r="H430" t="s">
        <v>22</v>
      </c>
      <c r="I430" s="11">
        <v>0</v>
      </c>
      <c r="J430" s="11">
        <v>1200000</v>
      </c>
    </row>
    <row r="431" spans="1:10" x14ac:dyDescent="0.3">
      <c r="A431" s="10">
        <v>46020</v>
      </c>
      <c r="B431" t="s">
        <v>19</v>
      </c>
      <c r="C431" t="s">
        <v>43</v>
      </c>
      <c r="D431" t="str">
        <f t="shared" si="18"/>
        <v>342856178431</v>
      </c>
      <c r="E431" t="str">
        <f t="shared" si="19"/>
        <v>Client431</v>
      </c>
      <c r="F431" t="str">
        <f t="shared" si="20"/>
        <v>BOB431</v>
      </c>
      <c r="G431" t="s">
        <v>21</v>
      </c>
      <c r="H431" t="s">
        <v>22</v>
      </c>
      <c r="I431" s="11">
        <v>0</v>
      </c>
      <c r="J431" s="11">
        <v>5350000</v>
      </c>
    </row>
    <row r="432" spans="1:10" x14ac:dyDescent="0.3">
      <c r="A432" s="10">
        <v>46020</v>
      </c>
      <c r="B432" t="s">
        <v>19</v>
      </c>
      <c r="C432" t="s">
        <v>43</v>
      </c>
      <c r="D432" t="str">
        <f t="shared" si="18"/>
        <v>342856178432</v>
      </c>
      <c r="E432" t="str">
        <f t="shared" si="19"/>
        <v>Client432</v>
      </c>
      <c r="F432" t="str">
        <f t="shared" si="20"/>
        <v>BOB432</v>
      </c>
      <c r="G432" t="s">
        <v>21</v>
      </c>
      <c r="H432" t="s">
        <v>22</v>
      </c>
      <c r="I432" s="11">
        <v>0</v>
      </c>
      <c r="J432" s="11">
        <v>3500000</v>
      </c>
    </row>
    <row r="433" spans="1:10" x14ac:dyDescent="0.3">
      <c r="A433" s="10">
        <v>46020</v>
      </c>
      <c r="B433" t="s">
        <v>19</v>
      </c>
      <c r="C433" t="s">
        <v>43</v>
      </c>
      <c r="D433" t="str">
        <f t="shared" si="18"/>
        <v>342856178433</v>
      </c>
      <c r="E433" t="str">
        <f t="shared" si="19"/>
        <v>Client433</v>
      </c>
      <c r="F433" t="str">
        <f t="shared" si="20"/>
        <v>BOB433</v>
      </c>
      <c r="G433" t="s">
        <v>21</v>
      </c>
      <c r="H433" t="s">
        <v>22</v>
      </c>
      <c r="I433" s="11">
        <v>0</v>
      </c>
      <c r="J433" s="11">
        <v>400000</v>
      </c>
    </row>
    <row r="434" spans="1:10" x14ac:dyDescent="0.3">
      <c r="D434" t="str">
        <f t="shared" si="18"/>
        <v>342856178434</v>
      </c>
      <c r="I434" s="11"/>
      <c r="J434" s="11"/>
    </row>
  </sheetData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05"/>
  <sheetViews>
    <sheetView tabSelected="1" workbookViewId="0">
      <selection activeCell="K11" sqref="K11"/>
    </sheetView>
  </sheetViews>
  <sheetFormatPr defaultColWidth="11.5546875" defaultRowHeight="14.4" x14ac:dyDescent="0.3"/>
  <cols>
    <col min="1" max="1" width="13.5546875" customWidth="1"/>
    <col min="2" max="4" width="12.6640625" customWidth="1"/>
    <col min="5" max="5" width="13.21875" customWidth="1"/>
    <col min="6" max="7" width="12.6640625" customWidth="1"/>
    <col min="8" max="8" width="17.109375" customWidth="1"/>
    <col min="9" max="9" width="17.5546875" customWidth="1"/>
    <col min="10" max="13" width="16.6640625" customWidth="1"/>
    <col min="14" max="14" width="19.109375" customWidth="1"/>
  </cols>
  <sheetData>
    <row r="1" spans="1:14" x14ac:dyDescent="0.3">
      <c r="A1" s="16"/>
      <c r="B1" s="16"/>
      <c r="C1" s="16"/>
      <c r="D1" s="16"/>
      <c r="E1" s="16"/>
      <c r="F1" s="16"/>
      <c r="G1" s="16"/>
      <c r="H1" s="17" t="s">
        <v>106</v>
      </c>
      <c r="I1" s="16"/>
      <c r="J1" s="18" t="s">
        <v>107</v>
      </c>
      <c r="K1" s="16"/>
      <c r="L1" s="19" t="s">
        <v>108</v>
      </c>
      <c r="M1" s="16"/>
      <c r="N1" s="16"/>
    </row>
    <row r="2" spans="1:14" x14ac:dyDescent="0.3">
      <c r="A2" s="12" t="s">
        <v>56</v>
      </c>
      <c r="B2" s="12" t="s">
        <v>57</v>
      </c>
      <c r="C2" s="12" t="s">
        <v>58</v>
      </c>
      <c r="D2" s="12" t="s">
        <v>59</v>
      </c>
      <c r="E2" s="12" t="s">
        <v>60</v>
      </c>
      <c r="F2" s="12" t="s">
        <v>13</v>
      </c>
      <c r="G2" s="12" t="s">
        <v>14</v>
      </c>
      <c r="H2" s="12" t="s">
        <v>61</v>
      </c>
      <c r="I2" s="12" t="s">
        <v>62</v>
      </c>
      <c r="J2" s="12" t="s">
        <v>63</v>
      </c>
      <c r="K2" s="12" t="s">
        <v>64</v>
      </c>
      <c r="L2" s="12" t="s">
        <v>65</v>
      </c>
      <c r="M2" s="12" t="s">
        <v>66</v>
      </c>
      <c r="N2" s="12" t="s">
        <v>67</v>
      </c>
    </row>
    <row r="3" spans="1:14" x14ac:dyDescent="0.3">
      <c r="A3" s="10">
        <v>46020</v>
      </c>
      <c r="B3" t="s">
        <v>19</v>
      </c>
      <c r="C3" t="str">
        <f xml:space="preserve"> "342856178" &amp; ROW()</f>
        <v>3428561783</v>
      </c>
      <c r="D3" t="str">
        <f>"Client"  &amp; ROW()</f>
        <v>Client3</v>
      </c>
      <c r="E3" t="str">
        <f t="shared" ref="E3:E66" si="0">"BOB"&amp;ROW()</f>
        <v>BOB3</v>
      </c>
      <c r="F3" t="s">
        <v>32</v>
      </c>
      <c r="G3" s="11" t="s">
        <v>22</v>
      </c>
      <c r="H3" s="11">
        <v>0</v>
      </c>
      <c r="I3" s="11">
        <v>0</v>
      </c>
      <c r="J3" s="11">
        <v>0</v>
      </c>
      <c r="K3" s="11">
        <v>1800000</v>
      </c>
      <c r="L3" s="11">
        <v>8051100</v>
      </c>
      <c r="M3" s="11">
        <v>10920800</v>
      </c>
      <c r="N3" s="11">
        <v>0</v>
      </c>
    </row>
    <row r="4" spans="1:14" x14ac:dyDescent="0.3">
      <c r="A4" s="10">
        <v>46020</v>
      </c>
      <c r="B4" t="s">
        <v>19</v>
      </c>
      <c r="C4" t="str">
        <f t="shared" ref="C4:C67" si="1" xml:space="preserve"> "342856178" &amp; ROW()</f>
        <v>3428561784</v>
      </c>
      <c r="D4" t="str">
        <f t="shared" ref="D4:D67" si="2">"Client"  &amp; ROW()</f>
        <v>Client4</v>
      </c>
      <c r="E4" t="str">
        <f t="shared" si="0"/>
        <v>BOB4</v>
      </c>
      <c r="F4" t="s">
        <v>68</v>
      </c>
      <c r="G4" s="11" t="s">
        <v>69</v>
      </c>
      <c r="H4" s="11">
        <v>0</v>
      </c>
      <c r="I4" s="11">
        <v>0</v>
      </c>
      <c r="J4" s="11">
        <v>0</v>
      </c>
      <c r="K4" s="11">
        <v>0</v>
      </c>
      <c r="L4" s="11">
        <v>0</v>
      </c>
      <c r="M4" s="11">
        <v>2266000</v>
      </c>
      <c r="N4" s="11">
        <v>0</v>
      </c>
    </row>
    <row r="5" spans="1:14" x14ac:dyDescent="0.3">
      <c r="A5" s="10">
        <v>46020</v>
      </c>
      <c r="B5" t="s">
        <v>19</v>
      </c>
      <c r="C5" t="str">
        <f t="shared" si="1"/>
        <v>3428561785</v>
      </c>
      <c r="D5" t="str">
        <f t="shared" si="2"/>
        <v>Client5</v>
      </c>
      <c r="E5" t="str">
        <f t="shared" si="0"/>
        <v>BOB5</v>
      </c>
      <c r="F5" t="s">
        <v>32</v>
      </c>
      <c r="G5" s="11" t="s">
        <v>22</v>
      </c>
      <c r="H5" s="11">
        <v>0</v>
      </c>
      <c r="I5" s="11">
        <v>0</v>
      </c>
      <c r="J5" s="11">
        <v>0</v>
      </c>
      <c r="K5" s="11">
        <v>0</v>
      </c>
      <c r="L5" s="11">
        <v>0</v>
      </c>
      <c r="M5" s="11">
        <v>0</v>
      </c>
      <c r="N5" s="11">
        <v>0</v>
      </c>
    </row>
    <row r="6" spans="1:14" x14ac:dyDescent="0.3">
      <c r="A6" s="10">
        <v>46020</v>
      </c>
      <c r="B6" t="s">
        <v>19</v>
      </c>
      <c r="C6" t="str">
        <f t="shared" si="1"/>
        <v>3428561786</v>
      </c>
      <c r="D6" t="str">
        <f t="shared" si="2"/>
        <v>Client6</v>
      </c>
      <c r="E6" t="str">
        <f t="shared" si="0"/>
        <v>BOB6</v>
      </c>
      <c r="F6" t="s">
        <v>26</v>
      </c>
      <c r="G6" s="11" t="s">
        <v>27</v>
      </c>
      <c r="H6" s="11">
        <v>0</v>
      </c>
      <c r="I6" s="11">
        <v>0</v>
      </c>
      <c r="J6" s="11">
        <v>1000000</v>
      </c>
      <c r="K6" s="11">
        <v>0</v>
      </c>
      <c r="L6" s="11">
        <v>8662000</v>
      </c>
      <c r="M6" s="11">
        <v>6280800</v>
      </c>
      <c r="N6" s="11">
        <v>0</v>
      </c>
    </row>
    <row r="7" spans="1:14" x14ac:dyDescent="0.3">
      <c r="A7" s="10">
        <v>46020</v>
      </c>
      <c r="B7" t="s">
        <v>19</v>
      </c>
      <c r="C7" t="str">
        <f t="shared" si="1"/>
        <v>3428561787</v>
      </c>
      <c r="D7" t="str">
        <f t="shared" si="2"/>
        <v>Client7</v>
      </c>
      <c r="E7" t="str">
        <f t="shared" si="0"/>
        <v>BOB7</v>
      </c>
      <c r="F7" t="s">
        <v>32</v>
      </c>
      <c r="G7" s="11" t="s">
        <v>22</v>
      </c>
      <c r="H7" s="11">
        <v>0</v>
      </c>
      <c r="I7" s="11">
        <v>0</v>
      </c>
      <c r="J7" s="11">
        <v>0</v>
      </c>
      <c r="K7" s="11">
        <v>0</v>
      </c>
      <c r="L7" s="11">
        <v>3889400</v>
      </c>
      <c r="M7" s="11">
        <v>4400500</v>
      </c>
      <c r="N7" s="11">
        <v>0</v>
      </c>
    </row>
    <row r="8" spans="1:14" x14ac:dyDescent="0.3">
      <c r="A8" s="10">
        <v>46020</v>
      </c>
      <c r="B8" t="s">
        <v>19</v>
      </c>
      <c r="C8" t="str">
        <f t="shared" si="1"/>
        <v>3428561788</v>
      </c>
      <c r="D8" t="str">
        <f t="shared" si="2"/>
        <v>Client8</v>
      </c>
      <c r="E8" t="str">
        <f t="shared" si="0"/>
        <v>BOB8</v>
      </c>
      <c r="F8" t="s">
        <v>32</v>
      </c>
      <c r="G8" s="11" t="s">
        <v>22</v>
      </c>
      <c r="H8" s="11">
        <v>0</v>
      </c>
      <c r="I8" s="11">
        <v>5007500</v>
      </c>
      <c r="J8" s="11">
        <v>0</v>
      </c>
      <c r="K8" s="11">
        <v>0</v>
      </c>
      <c r="L8" s="11">
        <v>23616900</v>
      </c>
      <c r="M8" s="11">
        <v>25169200</v>
      </c>
      <c r="N8" s="11">
        <v>0</v>
      </c>
    </row>
    <row r="9" spans="1:14" x14ac:dyDescent="0.3">
      <c r="A9" s="10">
        <v>46020</v>
      </c>
      <c r="B9" t="s">
        <v>19</v>
      </c>
      <c r="C9" t="str">
        <f t="shared" si="1"/>
        <v>3428561789</v>
      </c>
      <c r="D9" t="str">
        <f t="shared" si="2"/>
        <v>Client9</v>
      </c>
      <c r="E9" t="str">
        <f t="shared" si="0"/>
        <v>BOB9</v>
      </c>
      <c r="F9" t="s">
        <v>26</v>
      </c>
      <c r="G9" s="11" t="s">
        <v>27</v>
      </c>
      <c r="H9" s="11">
        <v>0</v>
      </c>
      <c r="I9" s="11">
        <v>0</v>
      </c>
      <c r="J9" s="11">
        <v>0</v>
      </c>
      <c r="K9" s="11">
        <v>1001000</v>
      </c>
      <c r="L9" s="11">
        <v>8441600</v>
      </c>
      <c r="M9" s="11">
        <v>12549400</v>
      </c>
      <c r="N9" s="11">
        <v>0</v>
      </c>
    </row>
    <row r="10" spans="1:14" x14ac:dyDescent="0.3">
      <c r="A10" s="10">
        <v>46020</v>
      </c>
      <c r="B10" t="s">
        <v>19</v>
      </c>
      <c r="C10" t="str">
        <f t="shared" si="1"/>
        <v>34285617810</v>
      </c>
      <c r="D10" t="str">
        <f t="shared" si="2"/>
        <v>Client10</v>
      </c>
      <c r="E10" t="str">
        <f t="shared" si="0"/>
        <v>BOB10</v>
      </c>
      <c r="F10" t="s">
        <v>32</v>
      </c>
      <c r="G10" s="11" t="s">
        <v>22</v>
      </c>
      <c r="H10" s="11">
        <v>0</v>
      </c>
      <c r="I10" s="11">
        <v>0</v>
      </c>
      <c r="J10" s="11">
        <v>0</v>
      </c>
      <c r="K10" s="11">
        <v>2000000</v>
      </c>
      <c r="L10" s="11">
        <v>3186400</v>
      </c>
      <c r="M10" s="11">
        <v>3787000</v>
      </c>
      <c r="N10" s="11">
        <v>0</v>
      </c>
    </row>
    <row r="11" spans="1:14" x14ac:dyDescent="0.3">
      <c r="A11" s="10">
        <v>46020</v>
      </c>
      <c r="B11" t="s">
        <v>19</v>
      </c>
      <c r="C11" t="str">
        <f t="shared" si="1"/>
        <v>34285617811</v>
      </c>
      <c r="D11" t="str">
        <f t="shared" si="2"/>
        <v>Client11</v>
      </c>
      <c r="E11" t="str">
        <f t="shared" si="0"/>
        <v>BOB11</v>
      </c>
      <c r="F11" t="s">
        <v>21</v>
      </c>
      <c r="G11" s="11" t="s">
        <v>22</v>
      </c>
      <c r="H11" s="11">
        <v>0</v>
      </c>
      <c r="I11" s="11">
        <v>0</v>
      </c>
      <c r="J11" s="11">
        <v>0</v>
      </c>
      <c r="K11" s="11">
        <v>0</v>
      </c>
      <c r="L11" s="11">
        <v>36500</v>
      </c>
      <c r="M11" s="11">
        <v>40000</v>
      </c>
      <c r="N11" s="11">
        <v>0</v>
      </c>
    </row>
    <row r="12" spans="1:14" x14ac:dyDescent="0.3">
      <c r="A12" s="10">
        <v>46020</v>
      </c>
      <c r="B12" t="s">
        <v>19</v>
      </c>
      <c r="C12" t="str">
        <f t="shared" si="1"/>
        <v>34285617812</v>
      </c>
      <c r="D12" t="str">
        <f t="shared" si="2"/>
        <v>Client12</v>
      </c>
      <c r="E12" t="str">
        <f t="shared" si="0"/>
        <v>BOB12</v>
      </c>
      <c r="F12" t="s">
        <v>26</v>
      </c>
      <c r="G12" s="11" t="s">
        <v>27</v>
      </c>
      <c r="H12" s="11">
        <v>0</v>
      </c>
      <c r="I12" s="11">
        <v>0</v>
      </c>
      <c r="J12" s="11">
        <v>0</v>
      </c>
      <c r="K12" s="11">
        <v>0</v>
      </c>
      <c r="L12" s="11">
        <v>36000</v>
      </c>
      <c r="M12" s="11">
        <v>10000</v>
      </c>
      <c r="N12" s="11">
        <v>0</v>
      </c>
    </row>
    <row r="13" spans="1:14" x14ac:dyDescent="0.3">
      <c r="A13" s="10">
        <v>46020</v>
      </c>
      <c r="B13" t="s">
        <v>19</v>
      </c>
      <c r="C13" t="str">
        <f t="shared" si="1"/>
        <v>34285617813</v>
      </c>
      <c r="D13" t="str">
        <f t="shared" si="2"/>
        <v>Client13</v>
      </c>
      <c r="E13" t="str">
        <f t="shared" si="0"/>
        <v>BOB13</v>
      </c>
      <c r="F13" t="s">
        <v>24</v>
      </c>
      <c r="G13" s="11" t="s">
        <v>22</v>
      </c>
      <c r="H13" s="11">
        <v>0</v>
      </c>
      <c r="I13" s="11">
        <v>0</v>
      </c>
      <c r="J13" s="11">
        <v>1000000</v>
      </c>
      <c r="K13" s="11">
        <v>2000000</v>
      </c>
      <c r="L13" s="11">
        <v>12709000</v>
      </c>
      <c r="M13" s="11">
        <v>13569000</v>
      </c>
      <c r="N13" s="11">
        <v>0</v>
      </c>
    </row>
    <row r="14" spans="1:14" x14ac:dyDescent="0.3">
      <c r="A14" s="10">
        <v>46020</v>
      </c>
      <c r="B14" t="s">
        <v>19</v>
      </c>
      <c r="C14" t="str">
        <f t="shared" si="1"/>
        <v>34285617814</v>
      </c>
      <c r="D14" t="str">
        <f t="shared" si="2"/>
        <v>Client14</v>
      </c>
      <c r="E14" t="str">
        <f t="shared" si="0"/>
        <v>BOB14</v>
      </c>
      <c r="F14" t="s">
        <v>24</v>
      </c>
      <c r="G14" s="11" t="s">
        <v>22</v>
      </c>
      <c r="H14" s="11">
        <v>0</v>
      </c>
      <c r="I14" s="11">
        <v>0</v>
      </c>
      <c r="J14" s="11">
        <v>0</v>
      </c>
      <c r="K14" s="11">
        <v>2700000</v>
      </c>
      <c r="L14" s="11">
        <v>2777300</v>
      </c>
      <c r="M14" s="11">
        <v>6121700</v>
      </c>
      <c r="N14" s="11">
        <v>0</v>
      </c>
    </row>
    <row r="15" spans="1:14" x14ac:dyDescent="0.3">
      <c r="A15" s="10">
        <v>46020</v>
      </c>
      <c r="B15" t="s">
        <v>19</v>
      </c>
      <c r="C15" t="str">
        <f t="shared" si="1"/>
        <v>34285617815</v>
      </c>
      <c r="D15" t="str">
        <f t="shared" si="2"/>
        <v>Client15</v>
      </c>
      <c r="E15" t="str">
        <f t="shared" si="0"/>
        <v>BOB15</v>
      </c>
      <c r="F15" t="s">
        <v>32</v>
      </c>
      <c r="G15" s="11" t="s">
        <v>22</v>
      </c>
      <c r="H15" s="11">
        <v>0</v>
      </c>
      <c r="I15" s="11">
        <v>0</v>
      </c>
      <c r="J15" s="11">
        <v>1131000</v>
      </c>
      <c r="K15" s="11">
        <v>1120000</v>
      </c>
      <c r="L15" s="11">
        <v>4096700</v>
      </c>
      <c r="M15" s="11">
        <v>3336100</v>
      </c>
      <c r="N15" s="11">
        <v>0</v>
      </c>
    </row>
    <row r="16" spans="1:14" x14ac:dyDescent="0.3">
      <c r="A16" s="10">
        <v>46020</v>
      </c>
      <c r="B16" t="s">
        <v>19</v>
      </c>
      <c r="C16" t="str">
        <f t="shared" si="1"/>
        <v>34285617816</v>
      </c>
      <c r="D16" t="str">
        <f t="shared" si="2"/>
        <v>Client16</v>
      </c>
      <c r="E16" t="str">
        <f t="shared" si="0"/>
        <v>BOB16</v>
      </c>
      <c r="F16" t="s">
        <v>32</v>
      </c>
      <c r="G16" s="11" t="s">
        <v>22</v>
      </c>
      <c r="H16" s="11">
        <v>0</v>
      </c>
      <c r="I16" s="11">
        <v>0</v>
      </c>
      <c r="J16" s="11">
        <v>2500000</v>
      </c>
      <c r="K16" s="11">
        <v>500000</v>
      </c>
      <c r="L16" s="11">
        <v>28313600</v>
      </c>
      <c r="M16" s="11">
        <v>28162600</v>
      </c>
      <c r="N16" s="11">
        <v>0</v>
      </c>
    </row>
    <row r="17" spans="1:14" x14ac:dyDescent="0.3">
      <c r="A17" s="10">
        <v>46020</v>
      </c>
      <c r="B17" t="s">
        <v>19</v>
      </c>
      <c r="C17" t="str">
        <f t="shared" si="1"/>
        <v>34285617817</v>
      </c>
      <c r="D17" t="str">
        <f t="shared" si="2"/>
        <v>Client17</v>
      </c>
      <c r="E17" t="str">
        <f t="shared" si="0"/>
        <v>BOB17</v>
      </c>
      <c r="F17" t="s">
        <v>24</v>
      </c>
      <c r="G17" s="11" t="s">
        <v>22</v>
      </c>
      <c r="H17" s="11">
        <v>0</v>
      </c>
      <c r="I17" s="11">
        <v>0</v>
      </c>
      <c r="J17" s="11">
        <v>5500000</v>
      </c>
      <c r="K17" s="11">
        <v>25587100</v>
      </c>
      <c r="L17" s="11">
        <v>46063400</v>
      </c>
      <c r="M17" s="11">
        <v>68749000</v>
      </c>
      <c r="N17" s="11">
        <v>0</v>
      </c>
    </row>
    <row r="18" spans="1:14" x14ac:dyDescent="0.3">
      <c r="A18" s="10">
        <v>46020</v>
      </c>
      <c r="B18" t="s">
        <v>19</v>
      </c>
      <c r="C18" t="str">
        <f t="shared" si="1"/>
        <v>34285617818</v>
      </c>
      <c r="D18" t="str">
        <f t="shared" si="2"/>
        <v>Client18</v>
      </c>
      <c r="E18" t="str">
        <f t="shared" si="0"/>
        <v>BOB18</v>
      </c>
      <c r="F18" t="s">
        <v>32</v>
      </c>
      <c r="G18" s="11" t="s">
        <v>22</v>
      </c>
      <c r="H18" s="11">
        <v>0</v>
      </c>
      <c r="I18" s="11">
        <v>0</v>
      </c>
      <c r="J18" s="11">
        <v>0</v>
      </c>
      <c r="K18" s="11">
        <v>0</v>
      </c>
      <c r="L18" s="11">
        <v>16069200</v>
      </c>
      <c r="M18" s="11">
        <v>15318700</v>
      </c>
      <c r="N18" s="11">
        <v>0</v>
      </c>
    </row>
    <row r="19" spans="1:14" x14ac:dyDescent="0.3">
      <c r="A19" s="10">
        <v>46020</v>
      </c>
      <c r="B19" t="s">
        <v>19</v>
      </c>
      <c r="C19" t="str">
        <f t="shared" si="1"/>
        <v>34285617819</v>
      </c>
      <c r="D19" t="str">
        <f t="shared" si="2"/>
        <v>Client19</v>
      </c>
      <c r="E19" t="str">
        <f t="shared" si="0"/>
        <v>BOB19</v>
      </c>
      <c r="F19" t="s">
        <v>30</v>
      </c>
      <c r="G19" s="11" t="s">
        <v>70</v>
      </c>
      <c r="H19" s="11">
        <v>0</v>
      </c>
      <c r="I19" s="11">
        <v>0</v>
      </c>
      <c r="J19" s="11">
        <v>0</v>
      </c>
      <c r="K19" s="11">
        <v>0</v>
      </c>
      <c r="L19" s="11">
        <v>51500</v>
      </c>
      <c r="M19" s="11">
        <v>8000</v>
      </c>
      <c r="N19" s="11">
        <v>0</v>
      </c>
    </row>
    <row r="20" spans="1:14" x14ac:dyDescent="0.3">
      <c r="A20" s="10">
        <v>46020</v>
      </c>
      <c r="B20" t="s">
        <v>19</v>
      </c>
      <c r="C20" t="str">
        <f t="shared" si="1"/>
        <v>34285617820</v>
      </c>
      <c r="D20" t="str">
        <f t="shared" si="2"/>
        <v>Client20</v>
      </c>
      <c r="E20" t="str">
        <f t="shared" si="0"/>
        <v>BOB20</v>
      </c>
      <c r="F20" t="s">
        <v>30</v>
      </c>
      <c r="G20" s="11" t="s">
        <v>71</v>
      </c>
      <c r="H20" s="11">
        <v>0</v>
      </c>
      <c r="I20" s="11">
        <v>0</v>
      </c>
      <c r="J20" s="11">
        <v>0</v>
      </c>
      <c r="K20" s="11">
        <v>4001500</v>
      </c>
      <c r="L20" s="11">
        <v>2446300</v>
      </c>
      <c r="M20" s="11">
        <v>8960500</v>
      </c>
      <c r="N20" s="11">
        <v>0</v>
      </c>
    </row>
    <row r="21" spans="1:14" x14ac:dyDescent="0.3">
      <c r="A21" s="10">
        <v>46020</v>
      </c>
      <c r="B21" t="s">
        <v>19</v>
      </c>
      <c r="C21" t="str">
        <f t="shared" si="1"/>
        <v>34285617821</v>
      </c>
      <c r="D21" t="str">
        <f t="shared" si="2"/>
        <v>Client21</v>
      </c>
      <c r="E21" t="str">
        <f t="shared" si="0"/>
        <v>BOB21</v>
      </c>
      <c r="F21" t="s">
        <v>32</v>
      </c>
      <c r="G21" s="11" t="s">
        <v>22</v>
      </c>
      <c r="H21" s="11">
        <v>0</v>
      </c>
      <c r="I21" s="11">
        <v>0</v>
      </c>
      <c r="J21" s="11">
        <v>1450000</v>
      </c>
      <c r="K21" s="11">
        <v>1450000</v>
      </c>
      <c r="L21" s="11">
        <v>0</v>
      </c>
      <c r="M21" s="11">
        <v>0</v>
      </c>
      <c r="N21" s="11">
        <v>0</v>
      </c>
    </row>
    <row r="22" spans="1:14" x14ac:dyDescent="0.3">
      <c r="A22" s="10">
        <v>46020</v>
      </c>
      <c r="B22" t="s">
        <v>19</v>
      </c>
      <c r="C22" t="str">
        <f t="shared" si="1"/>
        <v>34285617822</v>
      </c>
      <c r="D22" t="str">
        <f t="shared" si="2"/>
        <v>Client22</v>
      </c>
      <c r="E22" t="str">
        <f t="shared" si="0"/>
        <v>BOB22</v>
      </c>
      <c r="F22" t="s">
        <v>30</v>
      </c>
      <c r="G22" s="11" t="s">
        <v>22</v>
      </c>
      <c r="H22" s="11">
        <v>0</v>
      </c>
      <c r="I22" s="11">
        <v>0</v>
      </c>
      <c r="J22" s="11">
        <v>0</v>
      </c>
      <c r="K22" s="11">
        <v>0</v>
      </c>
      <c r="L22" s="11">
        <v>8849100</v>
      </c>
      <c r="M22" s="11">
        <v>8636700</v>
      </c>
      <c r="N22" s="11">
        <v>0</v>
      </c>
    </row>
    <row r="23" spans="1:14" x14ac:dyDescent="0.3">
      <c r="A23" s="10">
        <v>46020</v>
      </c>
      <c r="B23" t="s">
        <v>19</v>
      </c>
      <c r="C23" t="str">
        <f t="shared" si="1"/>
        <v>34285617823</v>
      </c>
      <c r="D23" t="str">
        <f t="shared" si="2"/>
        <v>Client23</v>
      </c>
      <c r="E23" t="str">
        <f t="shared" si="0"/>
        <v>BOB23</v>
      </c>
      <c r="F23" t="s">
        <v>26</v>
      </c>
      <c r="G23" s="11" t="s">
        <v>27</v>
      </c>
      <c r="H23" s="11">
        <v>0</v>
      </c>
      <c r="I23" s="11">
        <v>0</v>
      </c>
      <c r="J23" s="11">
        <v>2000000</v>
      </c>
      <c r="K23" s="11">
        <v>0</v>
      </c>
      <c r="L23" s="11">
        <v>11388300</v>
      </c>
      <c r="M23" s="11">
        <v>8582100</v>
      </c>
      <c r="N23" s="11">
        <v>0</v>
      </c>
    </row>
    <row r="24" spans="1:14" x14ac:dyDescent="0.3">
      <c r="A24" s="10">
        <v>46020</v>
      </c>
      <c r="B24" t="s">
        <v>19</v>
      </c>
      <c r="C24" t="str">
        <f t="shared" si="1"/>
        <v>34285617824</v>
      </c>
      <c r="D24" t="str">
        <f t="shared" si="2"/>
        <v>Client24</v>
      </c>
      <c r="E24" t="str">
        <f t="shared" si="0"/>
        <v>BOB24</v>
      </c>
      <c r="F24" t="s">
        <v>26</v>
      </c>
      <c r="G24" s="11" t="s">
        <v>72</v>
      </c>
      <c r="H24" s="11">
        <v>0</v>
      </c>
      <c r="I24" s="11">
        <v>0</v>
      </c>
      <c r="J24" s="11">
        <v>2000000</v>
      </c>
      <c r="K24" s="11">
        <v>0</v>
      </c>
      <c r="L24" s="11">
        <v>12408800</v>
      </c>
      <c r="M24" s="11">
        <v>11238500</v>
      </c>
      <c r="N24" s="11">
        <v>0</v>
      </c>
    </row>
    <row r="25" spans="1:14" x14ac:dyDescent="0.3">
      <c r="A25" s="10">
        <v>46020</v>
      </c>
      <c r="B25" t="s">
        <v>19</v>
      </c>
      <c r="C25" t="str">
        <f t="shared" si="1"/>
        <v>34285617825</v>
      </c>
      <c r="D25" t="str">
        <f t="shared" si="2"/>
        <v>Client25</v>
      </c>
      <c r="E25" t="str">
        <f t="shared" si="0"/>
        <v>BOB25</v>
      </c>
      <c r="F25" t="s">
        <v>32</v>
      </c>
      <c r="G25" s="11" t="s">
        <v>22</v>
      </c>
      <c r="H25" s="11">
        <v>0</v>
      </c>
      <c r="I25" s="11">
        <v>0</v>
      </c>
      <c r="J25" s="11">
        <v>0</v>
      </c>
      <c r="K25" s="11">
        <v>0</v>
      </c>
      <c r="L25" s="11">
        <v>4461200</v>
      </c>
      <c r="M25" s="11">
        <v>3939000</v>
      </c>
      <c r="N25" s="11">
        <v>0</v>
      </c>
    </row>
    <row r="26" spans="1:14" x14ac:dyDescent="0.3">
      <c r="A26" s="10">
        <v>46020</v>
      </c>
      <c r="B26" t="s">
        <v>19</v>
      </c>
      <c r="C26" t="str">
        <f t="shared" si="1"/>
        <v>34285617826</v>
      </c>
      <c r="D26" t="str">
        <f t="shared" si="2"/>
        <v>Client26</v>
      </c>
      <c r="E26" t="str">
        <f t="shared" si="0"/>
        <v>BOB26</v>
      </c>
      <c r="F26" t="s">
        <v>73</v>
      </c>
      <c r="G26" s="11" t="s">
        <v>73</v>
      </c>
      <c r="H26" s="11">
        <v>0</v>
      </c>
      <c r="I26" s="11">
        <v>0</v>
      </c>
      <c r="J26" s="11">
        <v>0</v>
      </c>
      <c r="K26" s="11">
        <v>0</v>
      </c>
      <c r="L26" s="11">
        <v>5026300</v>
      </c>
      <c r="M26" s="11">
        <v>4849500</v>
      </c>
      <c r="N26" s="11">
        <v>0</v>
      </c>
    </row>
    <row r="27" spans="1:14" x14ac:dyDescent="0.3">
      <c r="A27" s="10">
        <v>46020</v>
      </c>
      <c r="B27" t="s">
        <v>19</v>
      </c>
      <c r="C27" t="str">
        <f t="shared" si="1"/>
        <v>34285617827</v>
      </c>
      <c r="D27" t="str">
        <f t="shared" si="2"/>
        <v>Client27</v>
      </c>
      <c r="E27" t="str">
        <f t="shared" si="0"/>
        <v>BOB27</v>
      </c>
      <c r="F27" t="s">
        <v>24</v>
      </c>
      <c r="G27" s="11" t="s">
        <v>22</v>
      </c>
      <c r="H27" s="11">
        <v>0</v>
      </c>
      <c r="I27" s="11">
        <v>0</v>
      </c>
      <c r="J27" s="11">
        <v>0</v>
      </c>
      <c r="K27" s="11">
        <v>0</v>
      </c>
      <c r="L27" s="11">
        <v>5819600</v>
      </c>
      <c r="M27" s="11">
        <v>7160300</v>
      </c>
      <c r="N27" s="11">
        <v>0</v>
      </c>
    </row>
    <row r="28" spans="1:14" x14ac:dyDescent="0.3">
      <c r="A28" s="10">
        <v>46020</v>
      </c>
      <c r="B28" t="s">
        <v>19</v>
      </c>
      <c r="C28" t="str">
        <f t="shared" si="1"/>
        <v>34285617828</v>
      </c>
      <c r="D28" t="str">
        <f t="shared" si="2"/>
        <v>Client28</v>
      </c>
      <c r="E28" t="str">
        <f t="shared" si="0"/>
        <v>BOB28</v>
      </c>
      <c r="F28" t="s">
        <v>21</v>
      </c>
      <c r="G28" s="11" t="s">
        <v>22</v>
      </c>
      <c r="H28" s="11">
        <v>0</v>
      </c>
      <c r="I28" s="11">
        <v>7010500</v>
      </c>
      <c r="J28" s="11">
        <v>0</v>
      </c>
      <c r="K28" s="11">
        <v>0</v>
      </c>
      <c r="L28" s="11">
        <v>9117900</v>
      </c>
      <c r="M28" s="11">
        <v>17475300</v>
      </c>
      <c r="N28" s="11">
        <v>0</v>
      </c>
    </row>
    <row r="29" spans="1:14" x14ac:dyDescent="0.3">
      <c r="A29" s="10">
        <v>46020</v>
      </c>
      <c r="B29" t="s">
        <v>19</v>
      </c>
      <c r="C29" t="str">
        <f t="shared" si="1"/>
        <v>34285617829</v>
      </c>
      <c r="D29" t="str">
        <f t="shared" si="2"/>
        <v>Client29</v>
      </c>
      <c r="E29" t="str">
        <f t="shared" si="0"/>
        <v>BOB29</v>
      </c>
      <c r="F29" t="s">
        <v>21</v>
      </c>
      <c r="G29" s="11" t="s">
        <v>22</v>
      </c>
      <c r="H29" s="11">
        <v>0</v>
      </c>
      <c r="I29" s="11">
        <v>0</v>
      </c>
      <c r="J29" s="11">
        <v>0</v>
      </c>
      <c r="K29" s="11">
        <v>300000</v>
      </c>
      <c r="L29" s="11">
        <v>3272900</v>
      </c>
      <c r="M29" s="11">
        <v>3153000</v>
      </c>
      <c r="N29" s="11">
        <v>0</v>
      </c>
    </row>
    <row r="30" spans="1:14" x14ac:dyDescent="0.3">
      <c r="A30" s="10">
        <v>46020</v>
      </c>
      <c r="B30" t="s">
        <v>19</v>
      </c>
      <c r="C30" t="str">
        <f t="shared" si="1"/>
        <v>34285617830</v>
      </c>
      <c r="D30" t="str">
        <f t="shared" si="2"/>
        <v>Client30</v>
      </c>
      <c r="E30" t="str">
        <f t="shared" si="0"/>
        <v>BOB30</v>
      </c>
      <c r="F30" t="s">
        <v>32</v>
      </c>
      <c r="G30" s="11" t="s">
        <v>22</v>
      </c>
      <c r="H30" s="11">
        <v>0</v>
      </c>
      <c r="I30" s="11">
        <v>0</v>
      </c>
      <c r="J30" s="11">
        <v>1100000</v>
      </c>
      <c r="K30" s="11">
        <v>885000</v>
      </c>
      <c r="L30" s="11">
        <v>4293200</v>
      </c>
      <c r="M30" s="11">
        <v>4092900</v>
      </c>
      <c r="N30" s="11">
        <v>0</v>
      </c>
    </row>
    <row r="31" spans="1:14" x14ac:dyDescent="0.3">
      <c r="A31" s="10">
        <v>46020</v>
      </c>
      <c r="B31" t="s">
        <v>19</v>
      </c>
      <c r="C31" t="str">
        <f t="shared" si="1"/>
        <v>34285617831</v>
      </c>
      <c r="D31" t="str">
        <f t="shared" si="2"/>
        <v>Client31</v>
      </c>
      <c r="E31" t="str">
        <f t="shared" si="0"/>
        <v>BOB31</v>
      </c>
      <c r="F31" t="s">
        <v>32</v>
      </c>
      <c r="G31" s="11" t="s">
        <v>22</v>
      </c>
      <c r="H31" s="11">
        <v>0</v>
      </c>
      <c r="I31" s="11">
        <v>0</v>
      </c>
      <c r="J31" s="11">
        <v>0</v>
      </c>
      <c r="K31" s="11">
        <v>9747400</v>
      </c>
      <c r="L31" s="11">
        <v>506900</v>
      </c>
      <c r="M31" s="11">
        <v>945900</v>
      </c>
      <c r="N31" s="11">
        <v>0</v>
      </c>
    </row>
    <row r="32" spans="1:14" x14ac:dyDescent="0.3">
      <c r="A32" s="10">
        <v>46020</v>
      </c>
      <c r="B32" t="s">
        <v>19</v>
      </c>
      <c r="C32" t="str">
        <f t="shared" si="1"/>
        <v>34285617832</v>
      </c>
      <c r="D32" t="str">
        <f t="shared" si="2"/>
        <v>Client32</v>
      </c>
      <c r="E32" t="str">
        <f t="shared" si="0"/>
        <v>BOB32</v>
      </c>
      <c r="F32" t="s">
        <v>21</v>
      </c>
      <c r="G32" s="11" t="s">
        <v>22</v>
      </c>
      <c r="H32" s="11">
        <v>0</v>
      </c>
      <c r="I32" s="11">
        <v>0</v>
      </c>
      <c r="J32" s="11">
        <v>0</v>
      </c>
      <c r="K32" s="11">
        <v>0</v>
      </c>
      <c r="L32" s="11">
        <v>17096700</v>
      </c>
      <c r="M32" s="11">
        <v>16958100</v>
      </c>
      <c r="N32" s="11">
        <v>0</v>
      </c>
    </row>
    <row r="33" spans="1:14" x14ac:dyDescent="0.3">
      <c r="A33" s="10">
        <v>46020</v>
      </c>
      <c r="B33" t="s">
        <v>19</v>
      </c>
      <c r="C33" t="str">
        <f t="shared" si="1"/>
        <v>34285617833</v>
      </c>
      <c r="D33" t="str">
        <f t="shared" si="2"/>
        <v>Client33</v>
      </c>
      <c r="E33" t="str">
        <f t="shared" si="0"/>
        <v>BOB33</v>
      </c>
      <c r="F33" t="s">
        <v>21</v>
      </c>
      <c r="G33" s="11" t="s">
        <v>22</v>
      </c>
      <c r="H33" s="11">
        <v>0</v>
      </c>
      <c r="I33" s="11">
        <v>0</v>
      </c>
      <c r="J33" s="11">
        <v>700000</v>
      </c>
      <c r="K33" s="11">
        <v>3402200</v>
      </c>
      <c r="L33" s="11">
        <v>6850000</v>
      </c>
      <c r="M33" s="11">
        <v>9806500</v>
      </c>
      <c r="N33" s="11">
        <v>0</v>
      </c>
    </row>
    <row r="34" spans="1:14" x14ac:dyDescent="0.3">
      <c r="A34" s="10">
        <v>46020</v>
      </c>
      <c r="B34" t="s">
        <v>19</v>
      </c>
      <c r="C34" t="str">
        <f t="shared" si="1"/>
        <v>34285617834</v>
      </c>
      <c r="D34" t="str">
        <f t="shared" si="2"/>
        <v>Client34</v>
      </c>
      <c r="E34" t="str">
        <f t="shared" si="0"/>
        <v>BOB34</v>
      </c>
      <c r="F34" t="s">
        <v>32</v>
      </c>
      <c r="G34" s="11" t="s">
        <v>22</v>
      </c>
      <c r="H34" s="11">
        <v>0</v>
      </c>
      <c r="I34" s="11">
        <v>0</v>
      </c>
      <c r="J34" s="11">
        <v>0</v>
      </c>
      <c r="K34" s="11">
        <v>0</v>
      </c>
      <c r="L34" s="11">
        <v>11548500</v>
      </c>
      <c r="M34" s="11">
        <v>12250300</v>
      </c>
      <c r="N34" s="11">
        <v>0</v>
      </c>
    </row>
    <row r="35" spans="1:14" x14ac:dyDescent="0.3">
      <c r="A35" s="10">
        <v>46020</v>
      </c>
      <c r="B35" t="s">
        <v>19</v>
      </c>
      <c r="C35" t="str">
        <f t="shared" si="1"/>
        <v>34285617835</v>
      </c>
      <c r="D35" t="str">
        <f t="shared" si="2"/>
        <v>Client35</v>
      </c>
      <c r="E35" t="str">
        <f t="shared" si="0"/>
        <v>BOB35</v>
      </c>
      <c r="F35" t="s">
        <v>32</v>
      </c>
      <c r="G35" s="11" t="s">
        <v>22</v>
      </c>
      <c r="H35" s="11">
        <v>0</v>
      </c>
      <c r="I35" s="11">
        <v>0</v>
      </c>
      <c r="J35" s="11">
        <v>0</v>
      </c>
      <c r="K35" s="11">
        <v>0</v>
      </c>
      <c r="L35" s="11">
        <v>341000</v>
      </c>
      <c r="M35" s="11">
        <v>350000</v>
      </c>
      <c r="N35" s="11">
        <v>0</v>
      </c>
    </row>
    <row r="36" spans="1:14" x14ac:dyDescent="0.3">
      <c r="A36" s="10">
        <v>46020</v>
      </c>
      <c r="B36" t="s">
        <v>19</v>
      </c>
      <c r="C36" t="str">
        <f t="shared" si="1"/>
        <v>34285617836</v>
      </c>
      <c r="D36" t="str">
        <f t="shared" si="2"/>
        <v>Client36</v>
      </c>
      <c r="E36" t="str">
        <f t="shared" si="0"/>
        <v>BOB36</v>
      </c>
      <c r="F36" t="s">
        <v>26</v>
      </c>
      <c r="G36" s="11" t="s">
        <v>27</v>
      </c>
      <c r="H36" s="11">
        <v>0</v>
      </c>
      <c r="I36" s="11">
        <v>0</v>
      </c>
      <c r="J36" s="11">
        <v>1398600</v>
      </c>
      <c r="K36" s="11">
        <v>4704700</v>
      </c>
      <c r="L36" s="11">
        <v>38422400</v>
      </c>
      <c r="M36" s="11">
        <v>43012400</v>
      </c>
      <c r="N36" s="11">
        <v>0</v>
      </c>
    </row>
    <row r="37" spans="1:14" x14ac:dyDescent="0.3">
      <c r="A37" s="10">
        <v>46020</v>
      </c>
      <c r="B37" t="s">
        <v>19</v>
      </c>
      <c r="C37" t="str">
        <f t="shared" si="1"/>
        <v>34285617837</v>
      </c>
      <c r="D37" t="str">
        <f t="shared" si="2"/>
        <v>Client37</v>
      </c>
      <c r="E37" t="str">
        <f t="shared" si="0"/>
        <v>BOB37</v>
      </c>
      <c r="F37" t="s">
        <v>32</v>
      </c>
      <c r="G37" s="11" t="s">
        <v>22</v>
      </c>
      <c r="H37" s="11">
        <v>0</v>
      </c>
      <c r="I37" s="11">
        <v>0</v>
      </c>
      <c r="J37" s="11">
        <v>0</v>
      </c>
      <c r="K37" s="11">
        <v>0</v>
      </c>
      <c r="L37" s="11">
        <v>9586500</v>
      </c>
      <c r="M37" s="11">
        <v>8926900</v>
      </c>
      <c r="N37" s="11">
        <v>0</v>
      </c>
    </row>
    <row r="38" spans="1:14" x14ac:dyDescent="0.3">
      <c r="A38" s="10">
        <v>46020</v>
      </c>
      <c r="B38" t="s">
        <v>19</v>
      </c>
      <c r="C38" t="str">
        <f t="shared" si="1"/>
        <v>34285617838</v>
      </c>
      <c r="D38" t="str">
        <f t="shared" si="2"/>
        <v>Client38</v>
      </c>
      <c r="E38" t="str">
        <f t="shared" si="0"/>
        <v>BOB38</v>
      </c>
      <c r="F38" t="s">
        <v>21</v>
      </c>
      <c r="G38" s="11" t="s">
        <v>22</v>
      </c>
      <c r="H38" s="11">
        <v>0</v>
      </c>
      <c r="I38" s="11">
        <v>0</v>
      </c>
      <c r="J38" s="11">
        <v>0</v>
      </c>
      <c r="K38" s="11">
        <v>2500000</v>
      </c>
      <c r="L38" s="11">
        <v>621400</v>
      </c>
      <c r="M38" s="11">
        <v>2740000</v>
      </c>
      <c r="N38" s="11">
        <v>0</v>
      </c>
    </row>
    <row r="39" spans="1:14" x14ac:dyDescent="0.3">
      <c r="A39" s="10">
        <v>46020</v>
      </c>
      <c r="B39" t="s">
        <v>19</v>
      </c>
      <c r="C39" t="str">
        <f t="shared" si="1"/>
        <v>34285617839</v>
      </c>
      <c r="D39" t="str">
        <f t="shared" si="2"/>
        <v>Client39</v>
      </c>
      <c r="E39" t="str">
        <f t="shared" si="0"/>
        <v>BOB39</v>
      </c>
      <c r="F39" t="s">
        <v>32</v>
      </c>
      <c r="G39" s="11" t="s">
        <v>22</v>
      </c>
      <c r="H39" s="11">
        <v>0</v>
      </c>
      <c r="I39" s="11">
        <v>0</v>
      </c>
      <c r="J39" s="11">
        <v>700000</v>
      </c>
      <c r="K39" s="11">
        <v>1900000</v>
      </c>
      <c r="L39" s="11">
        <v>14540500</v>
      </c>
      <c r="M39" s="11">
        <v>15916600</v>
      </c>
      <c r="N39" s="11">
        <v>0</v>
      </c>
    </row>
    <row r="40" spans="1:14" x14ac:dyDescent="0.3">
      <c r="A40" s="10">
        <v>46020</v>
      </c>
      <c r="B40" t="s">
        <v>19</v>
      </c>
      <c r="C40" t="str">
        <f t="shared" si="1"/>
        <v>34285617840</v>
      </c>
      <c r="D40" t="str">
        <f t="shared" si="2"/>
        <v>Client40</v>
      </c>
      <c r="E40" t="str">
        <f t="shared" si="0"/>
        <v>BOB40</v>
      </c>
      <c r="F40" t="s">
        <v>24</v>
      </c>
      <c r="G40" s="11" t="s">
        <v>22</v>
      </c>
      <c r="H40" s="11">
        <v>0</v>
      </c>
      <c r="I40" s="11">
        <v>0</v>
      </c>
      <c r="J40" s="11">
        <v>0</v>
      </c>
      <c r="K40" s="11">
        <v>0</v>
      </c>
      <c r="L40" s="11">
        <v>1729100</v>
      </c>
      <c r="M40" s="11">
        <v>1641300</v>
      </c>
      <c r="N40" s="11">
        <v>0</v>
      </c>
    </row>
    <row r="41" spans="1:14" x14ac:dyDescent="0.3">
      <c r="A41" s="10">
        <v>46020</v>
      </c>
      <c r="B41" t="s">
        <v>19</v>
      </c>
      <c r="C41" t="str">
        <f t="shared" si="1"/>
        <v>34285617841</v>
      </c>
      <c r="D41" t="str">
        <f t="shared" si="2"/>
        <v>Client41</v>
      </c>
      <c r="E41" t="str">
        <f t="shared" si="0"/>
        <v>BOB41</v>
      </c>
      <c r="F41" t="s">
        <v>32</v>
      </c>
      <c r="G41" s="11" t="s">
        <v>22</v>
      </c>
      <c r="H41" s="11">
        <v>0</v>
      </c>
      <c r="I41" s="11">
        <v>0</v>
      </c>
      <c r="J41" s="11">
        <v>1000000</v>
      </c>
      <c r="K41" s="11">
        <v>1000000</v>
      </c>
      <c r="L41" s="11">
        <v>28959300</v>
      </c>
      <c r="M41" s="11">
        <v>25787500</v>
      </c>
      <c r="N41" s="11">
        <v>0</v>
      </c>
    </row>
    <row r="42" spans="1:14" x14ac:dyDescent="0.3">
      <c r="A42" s="10">
        <v>46020</v>
      </c>
      <c r="B42" t="s">
        <v>19</v>
      </c>
      <c r="C42" t="str">
        <f t="shared" si="1"/>
        <v>34285617842</v>
      </c>
      <c r="D42" t="str">
        <f t="shared" si="2"/>
        <v>Client42</v>
      </c>
      <c r="E42" t="str">
        <f t="shared" si="0"/>
        <v>BOB42</v>
      </c>
      <c r="F42" t="s">
        <v>32</v>
      </c>
      <c r="G42" s="11" t="s">
        <v>22</v>
      </c>
      <c r="H42" s="11">
        <v>0</v>
      </c>
      <c r="I42" s="11">
        <v>0</v>
      </c>
      <c r="J42" s="11">
        <v>0</v>
      </c>
      <c r="K42" s="11">
        <v>0</v>
      </c>
      <c r="L42" s="11">
        <v>5656900</v>
      </c>
      <c r="M42" s="11">
        <v>5487200</v>
      </c>
      <c r="N42" s="11">
        <v>0</v>
      </c>
    </row>
    <row r="43" spans="1:14" x14ac:dyDescent="0.3">
      <c r="A43" s="10">
        <v>46020</v>
      </c>
      <c r="B43" t="s">
        <v>19</v>
      </c>
      <c r="C43" t="str">
        <f t="shared" si="1"/>
        <v>34285617843</v>
      </c>
      <c r="D43" t="str">
        <f t="shared" si="2"/>
        <v>Client43</v>
      </c>
      <c r="E43" t="str">
        <f t="shared" si="0"/>
        <v>BOB43</v>
      </c>
      <c r="F43" t="s">
        <v>74</v>
      </c>
      <c r="G43" s="11" t="s">
        <v>22</v>
      </c>
      <c r="H43" s="11">
        <v>0</v>
      </c>
      <c r="I43" s="11">
        <v>0</v>
      </c>
      <c r="J43" s="11">
        <v>0</v>
      </c>
      <c r="K43" s="11">
        <v>10303300</v>
      </c>
      <c r="L43" s="11">
        <v>18264900</v>
      </c>
      <c r="M43" s="11">
        <v>29609400</v>
      </c>
      <c r="N43" s="11">
        <v>0</v>
      </c>
    </row>
    <row r="44" spans="1:14" x14ac:dyDescent="0.3">
      <c r="A44" s="10">
        <v>46020</v>
      </c>
      <c r="B44" t="s">
        <v>19</v>
      </c>
      <c r="C44" t="str">
        <f t="shared" si="1"/>
        <v>34285617844</v>
      </c>
      <c r="D44" t="str">
        <f t="shared" si="2"/>
        <v>Client44</v>
      </c>
      <c r="E44" t="str">
        <f t="shared" si="0"/>
        <v>BOB44</v>
      </c>
      <c r="F44" t="s">
        <v>32</v>
      </c>
      <c r="G44" s="11" t="s">
        <v>22</v>
      </c>
      <c r="H44" s="11">
        <v>0</v>
      </c>
      <c r="I44" s="11">
        <v>0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</row>
    <row r="45" spans="1:14" x14ac:dyDescent="0.3">
      <c r="A45" s="10">
        <v>46020</v>
      </c>
      <c r="B45" t="s">
        <v>19</v>
      </c>
      <c r="C45" t="str">
        <f t="shared" si="1"/>
        <v>34285617845</v>
      </c>
      <c r="D45" t="str">
        <f t="shared" si="2"/>
        <v>Client45</v>
      </c>
      <c r="E45" t="str">
        <f t="shared" si="0"/>
        <v>BOB45</v>
      </c>
      <c r="F45" t="s">
        <v>26</v>
      </c>
      <c r="G45" s="11" t="s">
        <v>27</v>
      </c>
      <c r="H45" s="11">
        <v>0</v>
      </c>
      <c r="I45" s="11">
        <v>0</v>
      </c>
      <c r="J45" s="11">
        <v>0</v>
      </c>
      <c r="K45" s="11">
        <v>0</v>
      </c>
      <c r="L45" s="11">
        <v>12567700</v>
      </c>
      <c r="M45" s="11">
        <v>14195700</v>
      </c>
      <c r="N45" s="11">
        <v>0</v>
      </c>
    </row>
    <row r="46" spans="1:14" x14ac:dyDescent="0.3">
      <c r="A46" s="10">
        <v>46020</v>
      </c>
      <c r="B46" t="s">
        <v>19</v>
      </c>
      <c r="C46" t="str">
        <f t="shared" si="1"/>
        <v>34285617846</v>
      </c>
      <c r="D46" t="str">
        <f t="shared" si="2"/>
        <v>Client46</v>
      </c>
      <c r="E46" t="str">
        <f t="shared" si="0"/>
        <v>BOB46</v>
      </c>
      <c r="F46" t="s">
        <v>30</v>
      </c>
      <c r="G46" s="11" t="s">
        <v>22</v>
      </c>
      <c r="H46" s="11">
        <v>0</v>
      </c>
      <c r="I46" s="11">
        <v>0</v>
      </c>
      <c r="J46" s="11">
        <v>800000</v>
      </c>
      <c r="K46" s="11">
        <v>5000000</v>
      </c>
      <c r="L46" s="11">
        <v>57384400</v>
      </c>
      <c r="M46" s="11">
        <v>58217100</v>
      </c>
      <c r="N46" s="11">
        <v>0</v>
      </c>
    </row>
    <row r="47" spans="1:14" x14ac:dyDescent="0.3">
      <c r="A47" s="10">
        <v>46020</v>
      </c>
      <c r="B47" t="s">
        <v>19</v>
      </c>
      <c r="C47" t="str">
        <f t="shared" si="1"/>
        <v>34285617847</v>
      </c>
      <c r="D47" t="str">
        <f t="shared" si="2"/>
        <v>Client47</v>
      </c>
      <c r="E47" t="str">
        <f t="shared" si="0"/>
        <v>BOB47</v>
      </c>
      <c r="G47" s="11"/>
      <c r="H47" s="11">
        <v>0</v>
      </c>
      <c r="I47" s="11">
        <v>0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</row>
    <row r="48" spans="1:14" x14ac:dyDescent="0.3">
      <c r="A48" s="10">
        <v>46020</v>
      </c>
      <c r="B48" t="s">
        <v>19</v>
      </c>
      <c r="C48" t="str">
        <f t="shared" si="1"/>
        <v>34285617848</v>
      </c>
      <c r="D48" t="str">
        <f t="shared" si="2"/>
        <v>Client48</v>
      </c>
      <c r="E48" t="str">
        <f t="shared" si="0"/>
        <v>BOB48</v>
      </c>
      <c r="F48" t="s">
        <v>26</v>
      </c>
      <c r="G48" s="11" t="s">
        <v>27</v>
      </c>
      <c r="H48" s="11">
        <v>0</v>
      </c>
      <c r="I48" s="11">
        <v>0</v>
      </c>
      <c r="J48" s="11">
        <v>0</v>
      </c>
      <c r="K48" s="11">
        <v>2302300</v>
      </c>
      <c r="L48" s="11">
        <v>7940600</v>
      </c>
      <c r="M48" s="11">
        <v>12101100</v>
      </c>
      <c r="N48" s="11">
        <v>0</v>
      </c>
    </row>
    <row r="49" spans="1:14" x14ac:dyDescent="0.3">
      <c r="A49" s="10">
        <v>46020</v>
      </c>
      <c r="B49" t="s">
        <v>19</v>
      </c>
      <c r="C49" t="str">
        <f t="shared" si="1"/>
        <v>34285617849</v>
      </c>
      <c r="D49" t="str">
        <f t="shared" si="2"/>
        <v>Client49</v>
      </c>
      <c r="E49" t="str">
        <f t="shared" si="0"/>
        <v>BOB49</v>
      </c>
      <c r="F49" t="s">
        <v>32</v>
      </c>
      <c r="G49" s="11" t="s">
        <v>22</v>
      </c>
      <c r="H49" s="11">
        <v>0</v>
      </c>
      <c r="I49" s="11">
        <v>0</v>
      </c>
      <c r="J49" s="11">
        <v>1700000</v>
      </c>
      <c r="K49" s="11">
        <v>0</v>
      </c>
      <c r="L49" s="11">
        <v>38078700</v>
      </c>
      <c r="M49" s="11">
        <v>36642900</v>
      </c>
      <c r="N49" s="11">
        <v>0</v>
      </c>
    </row>
    <row r="50" spans="1:14" x14ac:dyDescent="0.3">
      <c r="A50" s="10">
        <v>46020</v>
      </c>
      <c r="B50" t="s">
        <v>19</v>
      </c>
      <c r="C50" t="str">
        <f t="shared" si="1"/>
        <v>34285617850</v>
      </c>
      <c r="D50" t="str">
        <f t="shared" si="2"/>
        <v>Client50</v>
      </c>
      <c r="E50" t="str">
        <f t="shared" si="0"/>
        <v>BOB50</v>
      </c>
      <c r="F50" t="s">
        <v>24</v>
      </c>
      <c r="G50" s="11" t="s">
        <v>75</v>
      </c>
      <c r="H50" s="11">
        <v>0</v>
      </c>
      <c r="I50" s="11">
        <v>0</v>
      </c>
      <c r="J50" s="11">
        <v>0</v>
      </c>
      <c r="K50" s="11">
        <v>2003000</v>
      </c>
      <c r="L50" s="11">
        <v>33376300</v>
      </c>
      <c r="M50" s="11">
        <v>39995600</v>
      </c>
      <c r="N50" s="11">
        <v>0</v>
      </c>
    </row>
    <row r="51" spans="1:14" x14ac:dyDescent="0.3">
      <c r="A51" s="10">
        <v>46020</v>
      </c>
      <c r="B51" t="s">
        <v>19</v>
      </c>
      <c r="C51" t="str">
        <f t="shared" si="1"/>
        <v>34285617851</v>
      </c>
      <c r="D51" t="str">
        <f t="shared" si="2"/>
        <v>Client51</v>
      </c>
      <c r="E51" t="str">
        <f t="shared" si="0"/>
        <v>BOB51</v>
      </c>
      <c r="F51" t="s">
        <v>32</v>
      </c>
      <c r="G51" s="11" t="s">
        <v>22</v>
      </c>
      <c r="H51" s="11">
        <v>0</v>
      </c>
      <c r="I51" s="11">
        <v>0</v>
      </c>
      <c r="J51" s="11">
        <v>42527000</v>
      </c>
      <c r="K51" s="11">
        <v>2004000</v>
      </c>
      <c r="L51" s="11">
        <v>41195600</v>
      </c>
      <c r="M51" s="11">
        <v>0</v>
      </c>
      <c r="N51" s="11">
        <v>0</v>
      </c>
    </row>
    <row r="52" spans="1:14" x14ac:dyDescent="0.3">
      <c r="A52" s="10">
        <v>46020</v>
      </c>
      <c r="B52" t="s">
        <v>19</v>
      </c>
      <c r="C52" t="str">
        <f t="shared" si="1"/>
        <v>34285617852</v>
      </c>
      <c r="D52" t="str">
        <f t="shared" si="2"/>
        <v>Client52</v>
      </c>
      <c r="E52" t="str">
        <f t="shared" si="0"/>
        <v>BOB52</v>
      </c>
      <c r="F52" t="s">
        <v>32</v>
      </c>
      <c r="G52" s="11" t="s">
        <v>22</v>
      </c>
      <c r="H52" s="11">
        <v>0</v>
      </c>
      <c r="I52" s="11">
        <v>0</v>
      </c>
      <c r="J52" s="11">
        <v>560000</v>
      </c>
      <c r="K52" s="11">
        <v>2700000</v>
      </c>
      <c r="L52" s="11">
        <v>3906200</v>
      </c>
      <c r="M52" s="11">
        <v>5943700</v>
      </c>
      <c r="N52" s="11">
        <v>0</v>
      </c>
    </row>
    <row r="53" spans="1:14" x14ac:dyDescent="0.3">
      <c r="A53" s="10">
        <v>46020</v>
      </c>
      <c r="B53" t="s">
        <v>19</v>
      </c>
      <c r="C53" t="str">
        <f t="shared" si="1"/>
        <v>34285617853</v>
      </c>
      <c r="D53" t="str">
        <f t="shared" si="2"/>
        <v>Client53</v>
      </c>
      <c r="E53" t="str">
        <f t="shared" si="0"/>
        <v>BOB53</v>
      </c>
      <c r="F53" t="s">
        <v>32</v>
      </c>
      <c r="G53" s="11" t="s">
        <v>22</v>
      </c>
      <c r="H53" s="11">
        <v>0</v>
      </c>
      <c r="I53" s="11">
        <v>0</v>
      </c>
      <c r="J53" s="11">
        <v>0</v>
      </c>
      <c r="K53" s="11">
        <v>0</v>
      </c>
      <c r="L53" s="11">
        <v>41000</v>
      </c>
      <c r="M53" s="11">
        <v>0</v>
      </c>
      <c r="N53" s="11">
        <v>0</v>
      </c>
    </row>
    <row r="54" spans="1:14" x14ac:dyDescent="0.3">
      <c r="A54" s="10">
        <v>46020</v>
      </c>
      <c r="B54" t="s">
        <v>19</v>
      </c>
      <c r="C54" t="str">
        <f t="shared" si="1"/>
        <v>34285617854</v>
      </c>
      <c r="D54" t="str">
        <f t="shared" si="2"/>
        <v>Client54</v>
      </c>
      <c r="E54" t="str">
        <f t="shared" si="0"/>
        <v>BOB54</v>
      </c>
      <c r="F54" t="s">
        <v>32</v>
      </c>
      <c r="G54" s="11" t="s">
        <v>22</v>
      </c>
      <c r="H54" s="11">
        <v>0</v>
      </c>
      <c r="I54" s="11">
        <v>1124000</v>
      </c>
      <c r="J54" s="11">
        <v>0</v>
      </c>
      <c r="K54" s="11">
        <v>0</v>
      </c>
      <c r="L54" s="11">
        <v>13986700</v>
      </c>
      <c r="M54" s="11">
        <v>14792900</v>
      </c>
      <c r="N54" s="11">
        <v>0</v>
      </c>
    </row>
    <row r="55" spans="1:14" x14ac:dyDescent="0.3">
      <c r="A55" s="10">
        <v>46020</v>
      </c>
      <c r="B55" t="s">
        <v>19</v>
      </c>
      <c r="C55" t="str">
        <f t="shared" si="1"/>
        <v>34285617855</v>
      </c>
      <c r="D55" t="str">
        <f t="shared" si="2"/>
        <v>Client55</v>
      </c>
      <c r="E55" t="str">
        <f t="shared" si="0"/>
        <v>BOB55</v>
      </c>
      <c r="F55" t="s">
        <v>32</v>
      </c>
      <c r="G55" s="11" t="s">
        <v>22</v>
      </c>
      <c r="H55" s="11">
        <v>0</v>
      </c>
      <c r="I55" s="11">
        <v>0</v>
      </c>
      <c r="J55" s="11">
        <v>11116600</v>
      </c>
      <c r="K55" s="11">
        <v>10369000</v>
      </c>
      <c r="L55" s="11">
        <v>25764700</v>
      </c>
      <c r="M55" s="11">
        <v>24067100</v>
      </c>
      <c r="N55" s="11">
        <v>0</v>
      </c>
    </row>
    <row r="56" spans="1:14" x14ac:dyDescent="0.3">
      <c r="A56" s="10">
        <v>46020</v>
      </c>
      <c r="B56" t="s">
        <v>19</v>
      </c>
      <c r="C56" t="str">
        <f t="shared" si="1"/>
        <v>34285617856</v>
      </c>
      <c r="D56" t="str">
        <f t="shared" si="2"/>
        <v>Client56</v>
      </c>
      <c r="E56" t="str">
        <f t="shared" si="0"/>
        <v>BOB56</v>
      </c>
      <c r="F56" t="s">
        <v>30</v>
      </c>
      <c r="G56" s="11" t="s">
        <v>76</v>
      </c>
      <c r="H56" s="11">
        <v>0</v>
      </c>
      <c r="I56" s="11">
        <v>0</v>
      </c>
      <c r="J56" s="11">
        <v>42110000</v>
      </c>
      <c r="K56" s="11">
        <v>18012900</v>
      </c>
      <c r="L56" s="11">
        <v>46878300</v>
      </c>
      <c r="M56" s="11">
        <v>6766000</v>
      </c>
      <c r="N56" s="11">
        <v>7000000</v>
      </c>
    </row>
    <row r="57" spans="1:14" x14ac:dyDescent="0.3">
      <c r="A57" s="10">
        <v>46020</v>
      </c>
      <c r="B57" t="s">
        <v>19</v>
      </c>
      <c r="C57" t="str">
        <f t="shared" si="1"/>
        <v>34285617857</v>
      </c>
      <c r="D57" t="str">
        <f t="shared" si="2"/>
        <v>Client57</v>
      </c>
      <c r="E57" t="str">
        <f t="shared" si="0"/>
        <v>BOB57</v>
      </c>
      <c r="F57" t="s">
        <v>24</v>
      </c>
      <c r="G57" s="11" t="s">
        <v>22</v>
      </c>
      <c r="H57" s="11">
        <v>0</v>
      </c>
      <c r="I57" s="11">
        <v>0</v>
      </c>
      <c r="J57" s="11">
        <v>890000</v>
      </c>
      <c r="K57" s="11">
        <v>0</v>
      </c>
      <c r="L57" s="11">
        <v>5172400</v>
      </c>
      <c r="M57" s="11">
        <v>4174500</v>
      </c>
      <c r="N57" s="11">
        <v>0</v>
      </c>
    </row>
    <row r="58" spans="1:14" x14ac:dyDescent="0.3">
      <c r="A58" s="10">
        <v>46020</v>
      </c>
      <c r="B58" t="s">
        <v>19</v>
      </c>
      <c r="C58" t="str">
        <f t="shared" si="1"/>
        <v>34285617858</v>
      </c>
      <c r="D58" t="str">
        <f t="shared" si="2"/>
        <v>Client58</v>
      </c>
      <c r="E58" t="str">
        <f t="shared" si="0"/>
        <v>BOB58</v>
      </c>
      <c r="F58" t="s">
        <v>74</v>
      </c>
      <c r="G58" s="11" t="s">
        <v>22</v>
      </c>
      <c r="H58" s="11">
        <v>0</v>
      </c>
      <c r="I58" s="11">
        <v>15820600</v>
      </c>
      <c r="J58" s="11">
        <v>0</v>
      </c>
      <c r="K58" s="11">
        <v>0</v>
      </c>
      <c r="L58" s="11">
        <v>630900</v>
      </c>
      <c r="M58" s="11">
        <v>200000</v>
      </c>
      <c r="N58" s="11">
        <v>13950000</v>
      </c>
    </row>
    <row r="59" spans="1:14" x14ac:dyDescent="0.3">
      <c r="A59" s="10">
        <v>46020</v>
      </c>
      <c r="B59" t="s">
        <v>19</v>
      </c>
      <c r="C59" t="str">
        <f t="shared" si="1"/>
        <v>34285617859</v>
      </c>
      <c r="D59" t="str">
        <f t="shared" si="2"/>
        <v>Client59</v>
      </c>
      <c r="E59" t="str">
        <f t="shared" si="0"/>
        <v>BOB59</v>
      </c>
      <c r="F59" t="s">
        <v>32</v>
      </c>
      <c r="G59" s="11" t="s">
        <v>22</v>
      </c>
      <c r="H59" s="11">
        <v>0</v>
      </c>
      <c r="I59" s="11">
        <v>0</v>
      </c>
      <c r="J59" s="11">
        <v>5000000</v>
      </c>
      <c r="K59" s="11">
        <v>0</v>
      </c>
      <c r="L59" s="11">
        <v>5912200</v>
      </c>
      <c r="M59" s="11">
        <v>950000</v>
      </c>
      <c r="N59" s="11">
        <v>0</v>
      </c>
    </row>
    <row r="60" spans="1:14" x14ac:dyDescent="0.3">
      <c r="A60" s="10">
        <v>46020</v>
      </c>
      <c r="B60" t="s">
        <v>19</v>
      </c>
      <c r="C60" t="str">
        <f t="shared" si="1"/>
        <v>34285617860</v>
      </c>
      <c r="D60" t="str">
        <f t="shared" si="2"/>
        <v>Client60</v>
      </c>
      <c r="E60" t="str">
        <f t="shared" si="0"/>
        <v>BOB60</v>
      </c>
      <c r="F60" t="s">
        <v>32</v>
      </c>
      <c r="G60" s="11" t="s">
        <v>22</v>
      </c>
      <c r="H60" s="11">
        <v>0</v>
      </c>
      <c r="I60" s="11">
        <v>0</v>
      </c>
      <c r="J60" s="11">
        <v>0</v>
      </c>
      <c r="K60" s="11">
        <v>8000000</v>
      </c>
      <c r="L60" s="11">
        <v>19185400</v>
      </c>
      <c r="M60" s="11">
        <v>26726600</v>
      </c>
      <c r="N60" s="11">
        <v>0</v>
      </c>
    </row>
    <row r="61" spans="1:14" x14ac:dyDescent="0.3">
      <c r="A61" s="10">
        <v>46020</v>
      </c>
      <c r="B61" t="s">
        <v>19</v>
      </c>
      <c r="C61" t="str">
        <f t="shared" si="1"/>
        <v>34285617861</v>
      </c>
      <c r="D61" t="str">
        <f t="shared" si="2"/>
        <v>Client61</v>
      </c>
      <c r="E61" t="str">
        <f t="shared" si="0"/>
        <v>BOB61</v>
      </c>
      <c r="F61" t="s">
        <v>24</v>
      </c>
      <c r="G61" s="11" t="s">
        <v>22</v>
      </c>
      <c r="H61" s="11">
        <v>0</v>
      </c>
      <c r="I61" s="11">
        <v>0</v>
      </c>
      <c r="J61" s="11">
        <v>0</v>
      </c>
      <c r="K61" s="11">
        <v>0</v>
      </c>
      <c r="L61" s="11">
        <v>10000</v>
      </c>
      <c r="M61" s="11">
        <v>0</v>
      </c>
      <c r="N61" s="11">
        <v>0</v>
      </c>
    </row>
    <row r="62" spans="1:14" x14ac:dyDescent="0.3">
      <c r="A62" s="10">
        <v>46020</v>
      </c>
      <c r="B62" t="s">
        <v>19</v>
      </c>
      <c r="C62" t="str">
        <f t="shared" si="1"/>
        <v>34285617862</v>
      </c>
      <c r="D62" t="str">
        <f t="shared" si="2"/>
        <v>Client62</v>
      </c>
      <c r="E62" t="str">
        <f t="shared" si="0"/>
        <v>BOB62</v>
      </c>
      <c r="F62" t="s">
        <v>30</v>
      </c>
      <c r="G62" s="11" t="s">
        <v>22</v>
      </c>
      <c r="H62" s="11">
        <v>0</v>
      </c>
      <c r="I62" s="11">
        <v>0</v>
      </c>
      <c r="J62" s="11">
        <v>0</v>
      </c>
      <c r="K62" s="11">
        <v>1000000</v>
      </c>
      <c r="L62" s="11">
        <v>8328800</v>
      </c>
      <c r="M62" s="11">
        <v>9237000</v>
      </c>
      <c r="N62" s="11">
        <v>0</v>
      </c>
    </row>
    <row r="63" spans="1:14" x14ac:dyDescent="0.3">
      <c r="A63" s="10">
        <v>46020</v>
      </c>
      <c r="B63" t="s">
        <v>19</v>
      </c>
      <c r="C63" t="str">
        <f t="shared" si="1"/>
        <v>34285617863</v>
      </c>
      <c r="D63" t="str">
        <f t="shared" si="2"/>
        <v>Client63</v>
      </c>
      <c r="E63" t="str">
        <f t="shared" si="0"/>
        <v>BOB63</v>
      </c>
      <c r="F63" t="s">
        <v>32</v>
      </c>
      <c r="G63" s="11" t="s">
        <v>22</v>
      </c>
      <c r="H63" s="11">
        <v>0</v>
      </c>
      <c r="I63" s="11">
        <v>0</v>
      </c>
      <c r="J63" s="11">
        <v>0</v>
      </c>
      <c r="K63" s="11">
        <v>0</v>
      </c>
      <c r="L63" s="11">
        <v>11689600</v>
      </c>
      <c r="M63" s="11">
        <v>10769200</v>
      </c>
      <c r="N63" s="11">
        <v>0</v>
      </c>
    </row>
    <row r="64" spans="1:14" x14ac:dyDescent="0.3">
      <c r="A64" s="10">
        <v>46020</v>
      </c>
      <c r="B64" t="s">
        <v>19</v>
      </c>
      <c r="C64" t="str">
        <f t="shared" si="1"/>
        <v>34285617864</v>
      </c>
      <c r="D64" t="str">
        <f t="shared" si="2"/>
        <v>Client64</v>
      </c>
      <c r="E64" t="str">
        <f t="shared" si="0"/>
        <v>BOB64</v>
      </c>
      <c r="F64" t="s">
        <v>32</v>
      </c>
      <c r="G64" s="11" t="s">
        <v>22</v>
      </c>
      <c r="H64" s="11">
        <v>0</v>
      </c>
      <c r="I64" s="11">
        <v>0</v>
      </c>
      <c r="J64" s="11">
        <v>21452000</v>
      </c>
      <c r="K64" s="11">
        <v>2396000</v>
      </c>
      <c r="L64" s="11">
        <v>30545900</v>
      </c>
      <c r="M64" s="11">
        <v>11348300</v>
      </c>
      <c r="N64" s="11">
        <v>0</v>
      </c>
    </row>
    <row r="65" spans="1:14" x14ac:dyDescent="0.3">
      <c r="A65" s="10">
        <v>46020</v>
      </c>
      <c r="B65" t="s">
        <v>19</v>
      </c>
      <c r="C65" t="str">
        <f t="shared" si="1"/>
        <v>34285617865</v>
      </c>
      <c r="D65" t="str">
        <f t="shared" si="2"/>
        <v>Client65</v>
      </c>
      <c r="E65" t="str">
        <f t="shared" si="0"/>
        <v>BOB65</v>
      </c>
      <c r="F65" t="s">
        <v>21</v>
      </c>
      <c r="G65" s="11" t="s">
        <v>22</v>
      </c>
      <c r="H65" s="11">
        <v>0</v>
      </c>
      <c r="I65" s="11">
        <v>0</v>
      </c>
      <c r="J65" s="11">
        <v>0</v>
      </c>
      <c r="K65" s="11">
        <v>0</v>
      </c>
      <c r="L65" s="11">
        <v>7888100</v>
      </c>
      <c r="M65" s="11">
        <v>7686100</v>
      </c>
      <c r="N65" s="11">
        <v>0</v>
      </c>
    </row>
    <row r="66" spans="1:14" x14ac:dyDescent="0.3">
      <c r="A66" s="10">
        <v>46020</v>
      </c>
      <c r="B66" t="s">
        <v>19</v>
      </c>
      <c r="C66" t="str">
        <f t="shared" si="1"/>
        <v>34285617866</v>
      </c>
      <c r="D66" t="str">
        <f t="shared" si="2"/>
        <v>Client66</v>
      </c>
      <c r="E66" t="str">
        <f t="shared" si="0"/>
        <v>BOB66</v>
      </c>
      <c r="F66" t="s">
        <v>21</v>
      </c>
      <c r="G66" s="11" t="s">
        <v>22</v>
      </c>
      <c r="H66" s="11">
        <v>0</v>
      </c>
      <c r="I66" s="11">
        <v>0</v>
      </c>
      <c r="J66" s="11">
        <v>0</v>
      </c>
      <c r="K66" s="11">
        <v>0</v>
      </c>
      <c r="L66" s="11">
        <v>6308300</v>
      </c>
      <c r="M66" s="11">
        <v>4563000</v>
      </c>
      <c r="N66" s="11">
        <v>0</v>
      </c>
    </row>
    <row r="67" spans="1:14" x14ac:dyDescent="0.3">
      <c r="A67" s="10">
        <v>46020</v>
      </c>
      <c r="B67" t="s">
        <v>19</v>
      </c>
      <c r="C67" t="str">
        <f t="shared" si="1"/>
        <v>34285617867</v>
      </c>
      <c r="D67" t="str">
        <f t="shared" si="2"/>
        <v>Client67</v>
      </c>
      <c r="E67" t="str">
        <f t="shared" ref="E67:E130" si="3">"BOB"&amp;ROW()</f>
        <v>BOB67</v>
      </c>
      <c r="F67" t="s">
        <v>24</v>
      </c>
      <c r="G67" s="11" t="s">
        <v>22</v>
      </c>
      <c r="H67" s="11">
        <v>0</v>
      </c>
      <c r="I67" s="11">
        <v>0</v>
      </c>
      <c r="J67" s="11">
        <v>0</v>
      </c>
      <c r="K67" s="11">
        <v>0</v>
      </c>
      <c r="L67" s="11">
        <v>2732600</v>
      </c>
      <c r="M67" s="11">
        <v>2979000</v>
      </c>
      <c r="N67" s="11">
        <v>0</v>
      </c>
    </row>
    <row r="68" spans="1:14" x14ac:dyDescent="0.3">
      <c r="A68" s="10">
        <v>46020</v>
      </c>
      <c r="B68" t="s">
        <v>19</v>
      </c>
      <c r="C68" t="str">
        <f t="shared" ref="C68:C131" si="4" xml:space="preserve"> "342856178" &amp; ROW()</f>
        <v>34285617868</v>
      </c>
      <c r="D68" t="str">
        <f t="shared" ref="D68:D131" si="5">"Client"  &amp; ROW()</f>
        <v>Client68</v>
      </c>
      <c r="E68" t="str">
        <f t="shared" si="3"/>
        <v>BOB68</v>
      </c>
      <c r="F68" t="s">
        <v>26</v>
      </c>
      <c r="G68" s="11" t="s">
        <v>27</v>
      </c>
      <c r="H68" s="11">
        <v>0</v>
      </c>
      <c r="I68" s="11">
        <v>0</v>
      </c>
      <c r="J68" s="11">
        <v>0</v>
      </c>
      <c r="K68" s="11">
        <v>2000000</v>
      </c>
      <c r="L68" s="11">
        <v>4223300</v>
      </c>
      <c r="M68" s="11">
        <v>6608100</v>
      </c>
      <c r="N68" s="11">
        <v>0</v>
      </c>
    </row>
    <row r="69" spans="1:14" x14ac:dyDescent="0.3">
      <c r="A69" s="10">
        <v>46020</v>
      </c>
      <c r="B69" t="s">
        <v>19</v>
      </c>
      <c r="C69" t="str">
        <f t="shared" si="4"/>
        <v>34285617869</v>
      </c>
      <c r="D69" t="str">
        <f t="shared" si="5"/>
        <v>Client69</v>
      </c>
      <c r="E69" t="str">
        <f t="shared" si="3"/>
        <v>BOB69</v>
      </c>
      <c r="F69" t="s">
        <v>24</v>
      </c>
      <c r="G69" s="11" t="s">
        <v>22</v>
      </c>
      <c r="H69" s="11">
        <v>0</v>
      </c>
      <c r="I69" s="11">
        <v>0</v>
      </c>
      <c r="J69" s="11">
        <v>0</v>
      </c>
      <c r="K69" s="11">
        <v>3000000</v>
      </c>
      <c r="L69" s="11">
        <v>10345600</v>
      </c>
      <c r="M69" s="11">
        <v>18281200</v>
      </c>
      <c r="N69" s="11">
        <v>0</v>
      </c>
    </row>
    <row r="70" spans="1:14" x14ac:dyDescent="0.3">
      <c r="A70" s="10">
        <v>46020</v>
      </c>
      <c r="B70" t="s">
        <v>19</v>
      </c>
      <c r="C70" t="str">
        <f t="shared" si="4"/>
        <v>34285617870</v>
      </c>
      <c r="D70" t="str">
        <f t="shared" si="5"/>
        <v>Client70</v>
      </c>
      <c r="E70" t="str">
        <f t="shared" si="3"/>
        <v>BOB70</v>
      </c>
      <c r="F70" t="s">
        <v>32</v>
      </c>
      <c r="G70" s="11" t="s">
        <v>22</v>
      </c>
      <c r="H70" s="11">
        <v>0</v>
      </c>
      <c r="I70" s="11">
        <v>0</v>
      </c>
      <c r="J70" s="11">
        <v>300000</v>
      </c>
      <c r="K70" s="11">
        <v>305000</v>
      </c>
      <c r="L70" s="11">
        <v>5766100</v>
      </c>
      <c r="M70" s="11">
        <v>5713900</v>
      </c>
      <c r="N70" s="11">
        <v>0</v>
      </c>
    </row>
    <row r="71" spans="1:14" x14ac:dyDescent="0.3">
      <c r="A71" s="10">
        <v>46020</v>
      </c>
      <c r="B71" t="s">
        <v>19</v>
      </c>
      <c r="C71" t="str">
        <f t="shared" si="4"/>
        <v>34285617871</v>
      </c>
      <c r="D71" t="str">
        <f t="shared" si="5"/>
        <v>Client71</v>
      </c>
      <c r="E71" t="str">
        <f t="shared" si="3"/>
        <v>BOB71</v>
      </c>
      <c r="F71" t="s">
        <v>30</v>
      </c>
      <c r="G71" s="11" t="s">
        <v>22</v>
      </c>
      <c r="H71" s="11">
        <v>0</v>
      </c>
      <c r="I71" s="11">
        <v>0</v>
      </c>
      <c r="J71" s="11">
        <v>0</v>
      </c>
      <c r="K71" s="11">
        <v>2003000</v>
      </c>
      <c r="L71" s="11">
        <v>8278300</v>
      </c>
      <c r="M71" s="11">
        <v>9451100</v>
      </c>
      <c r="N71" s="11">
        <v>0</v>
      </c>
    </row>
    <row r="72" spans="1:14" x14ac:dyDescent="0.3">
      <c r="A72" s="10">
        <v>46020</v>
      </c>
      <c r="B72" t="s">
        <v>19</v>
      </c>
      <c r="C72" t="str">
        <f t="shared" si="4"/>
        <v>34285617872</v>
      </c>
      <c r="D72" t="str">
        <f t="shared" si="5"/>
        <v>Client72</v>
      </c>
      <c r="E72" t="str">
        <f t="shared" si="3"/>
        <v>BOB72</v>
      </c>
      <c r="F72" t="s">
        <v>26</v>
      </c>
      <c r="G72" s="11" t="s">
        <v>27</v>
      </c>
      <c r="H72" s="11">
        <v>0</v>
      </c>
      <c r="I72" s="11">
        <v>0</v>
      </c>
      <c r="J72" s="11">
        <v>0</v>
      </c>
      <c r="K72" s="11">
        <v>2402400</v>
      </c>
      <c r="L72" s="11">
        <v>1855400</v>
      </c>
      <c r="M72" s="11">
        <v>4133000</v>
      </c>
      <c r="N72" s="11">
        <v>0</v>
      </c>
    </row>
    <row r="73" spans="1:14" x14ac:dyDescent="0.3">
      <c r="A73" s="10">
        <v>46020</v>
      </c>
      <c r="B73" t="s">
        <v>19</v>
      </c>
      <c r="C73" t="str">
        <f t="shared" si="4"/>
        <v>34285617873</v>
      </c>
      <c r="D73" t="str">
        <f t="shared" si="5"/>
        <v>Client73</v>
      </c>
      <c r="E73" t="str">
        <f t="shared" si="3"/>
        <v>BOB73</v>
      </c>
      <c r="G73" s="11"/>
      <c r="H73" s="11">
        <v>0</v>
      </c>
      <c r="I73" s="11">
        <v>0</v>
      </c>
      <c r="J73" s="11">
        <v>0</v>
      </c>
      <c r="K73" s="11">
        <v>0</v>
      </c>
      <c r="L73" s="11">
        <v>16089800</v>
      </c>
      <c r="M73" s="11">
        <v>12119100</v>
      </c>
      <c r="N73" s="11">
        <v>0</v>
      </c>
    </row>
    <row r="74" spans="1:14" x14ac:dyDescent="0.3">
      <c r="A74" s="10">
        <v>46020</v>
      </c>
      <c r="B74" t="s">
        <v>19</v>
      </c>
      <c r="C74" t="str">
        <f t="shared" si="4"/>
        <v>34285617874</v>
      </c>
      <c r="D74" t="str">
        <f t="shared" si="5"/>
        <v>Client74</v>
      </c>
      <c r="E74" t="str">
        <f t="shared" si="3"/>
        <v>BOB74</v>
      </c>
      <c r="F74" t="s">
        <v>21</v>
      </c>
      <c r="G74" s="11" t="s">
        <v>22</v>
      </c>
      <c r="H74" s="11">
        <v>0</v>
      </c>
      <c r="I74" s="11">
        <v>0</v>
      </c>
      <c r="J74" s="11">
        <v>500000</v>
      </c>
      <c r="K74" s="11">
        <v>3004500</v>
      </c>
      <c r="L74" s="11">
        <v>3857200</v>
      </c>
      <c r="M74" s="11">
        <v>3938600</v>
      </c>
      <c r="N74" s="11">
        <v>0</v>
      </c>
    </row>
    <row r="75" spans="1:14" x14ac:dyDescent="0.3">
      <c r="A75" s="10">
        <v>46020</v>
      </c>
      <c r="B75" t="s">
        <v>19</v>
      </c>
      <c r="C75" t="str">
        <f t="shared" si="4"/>
        <v>34285617875</v>
      </c>
      <c r="D75" t="str">
        <f t="shared" si="5"/>
        <v>Client75</v>
      </c>
      <c r="E75" t="str">
        <f t="shared" si="3"/>
        <v>BOB75</v>
      </c>
      <c r="G75" s="11"/>
      <c r="H75" s="11">
        <v>0</v>
      </c>
      <c r="I75" s="11">
        <v>0</v>
      </c>
      <c r="J75" s="11">
        <v>0</v>
      </c>
      <c r="K75" s="11">
        <v>0</v>
      </c>
      <c r="L75" s="11">
        <v>0</v>
      </c>
      <c r="M75" s="11">
        <v>0</v>
      </c>
      <c r="N75" s="11">
        <v>0</v>
      </c>
    </row>
    <row r="76" spans="1:14" x14ac:dyDescent="0.3">
      <c r="A76" s="10">
        <v>46020</v>
      </c>
      <c r="B76" t="s">
        <v>19</v>
      </c>
      <c r="C76" t="str">
        <f t="shared" si="4"/>
        <v>34285617876</v>
      </c>
      <c r="D76" t="str">
        <f t="shared" si="5"/>
        <v>Client76</v>
      </c>
      <c r="E76" t="str">
        <f t="shared" si="3"/>
        <v>BOB76</v>
      </c>
      <c r="F76" t="s">
        <v>32</v>
      </c>
      <c r="G76" s="11" t="s">
        <v>22</v>
      </c>
      <c r="H76" s="11">
        <v>0</v>
      </c>
      <c r="I76" s="11">
        <v>0</v>
      </c>
      <c r="J76" s="11">
        <v>0</v>
      </c>
      <c r="K76" s="11">
        <v>0</v>
      </c>
      <c r="L76" s="11">
        <v>0</v>
      </c>
      <c r="M76" s="11">
        <v>0</v>
      </c>
      <c r="N76" s="11">
        <v>0</v>
      </c>
    </row>
    <row r="77" spans="1:14" x14ac:dyDescent="0.3">
      <c r="A77" s="10">
        <v>46020</v>
      </c>
      <c r="B77" t="s">
        <v>19</v>
      </c>
      <c r="C77" t="str">
        <f t="shared" si="4"/>
        <v>34285617877</v>
      </c>
      <c r="D77" t="str">
        <f t="shared" si="5"/>
        <v>Client77</v>
      </c>
      <c r="E77" t="str">
        <f t="shared" si="3"/>
        <v>BOB77</v>
      </c>
      <c r="F77" t="s">
        <v>32</v>
      </c>
      <c r="G77" s="11" t="s">
        <v>22</v>
      </c>
      <c r="H77" s="11">
        <v>0</v>
      </c>
      <c r="I77" s="11">
        <v>0</v>
      </c>
      <c r="J77" s="11">
        <v>1720000</v>
      </c>
      <c r="K77" s="11">
        <v>500000</v>
      </c>
      <c r="L77" s="11">
        <v>21819700</v>
      </c>
      <c r="M77" s="11">
        <v>19955500</v>
      </c>
      <c r="N77" s="11">
        <v>0</v>
      </c>
    </row>
    <row r="78" spans="1:14" x14ac:dyDescent="0.3">
      <c r="A78" s="10">
        <v>46020</v>
      </c>
      <c r="B78" t="s">
        <v>19</v>
      </c>
      <c r="C78" t="str">
        <f t="shared" si="4"/>
        <v>34285617878</v>
      </c>
      <c r="D78" t="str">
        <f t="shared" si="5"/>
        <v>Client78</v>
      </c>
      <c r="E78" t="str">
        <f t="shared" si="3"/>
        <v>BOB78</v>
      </c>
      <c r="F78" t="s">
        <v>73</v>
      </c>
      <c r="G78" s="11" t="s">
        <v>77</v>
      </c>
      <c r="H78" s="11">
        <v>0</v>
      </c>
      <c r="I78" s="11">
        <v>0</v>
      </c>
      <c r="J78" s="11">
        <v>0</v>
      </c>
      <c r="K78" s="11">
        <v>0</v>
      </c>
      <c r="L78" s="11">
        <v>1970000</v>
      </c>
      <c r="M78" s="11">
        <v>1597500</v>
      </c>
      <c r="N78" s="11">
        <v>0</v>
      </c>
    </row>
    <row r="79" spans="1:14" x14ac:dyDescent="0.3">
      <c r="A79" s="10">
        <v>46020</v>
      </c>
      <c r="B79" t="s">
        <v>19</v>
      </c>
      <c r="C79" t="str">
        <f t="shared" si="4"/>
        <v>34285617879</v>
      </c>
      <c r="D79" t="str">
        <f t="shared" si="5"/>
        <v>Client79</v>
      </c>
      <c r="E79" t="str">
        <f t="shared" si="3"/>
        <v>BOB79</v>
      </c>
      <c r="F79" t="s">
        <v>21</v>
      </c>
      <c r="G79" s="11" t="s">
        <v>22</v>
      </c>
      <c r="H79" s="11">
        <v>0</v>
      </c>
      <c r="I79" s="11">
        <v>0</v>
      </c>
      <c r="J79" s="11">
        <v>0</v>
      </c>
      <c r="K79" s="11">
        <v>0</v>
      </c>
      <c r="L79" s="11">
        <v>319900</v>
      </c>
      <c r="M79" s="11">
        <v>733900</v>
      </c>
      <c r="N79" s="11">
        <v>0</v>
      </c>
    </row>
    <row r="80" spans="1:14" x14ac:dyDescent="0.3">
      <c r="A80" s="10">
        <v>46020</v>
      </c>
      <c r="B80" t="s">
        <v>19</v>
      </c>
      <c r="C80" t="str">
        <f t="shared" si="4"/>
        <v>34285617880</v>
      </c>
      <c r="D80" t="str">
        <f t="shared" si="5"/>
        <v>Client80</v>
      </c>
      <c r="E80" t="str">
        <f t="shared" si="3"/>
        <v>BOB80</v>
      </c>
      <c r="F80" t="s">
        <v>24</v>
      </c>
      <c r="G80" s="11" t="s">
        <v>22</v>
      </c>
      <c r="H80" s="11">
        <v>0</v>
      </c>
      <c r="I80" s="11">
        <v>0</v>
      </c>
      <c r="J80" s="11">
        <v>0</v>
      </c>
      <c r="K80" s="11">
        <v>0</v>
      </c>
      <c r="L80" s="11">
        <v>0</v>
      </c>
      <c r="M80" s="11">
        <v>0</v>
      </c>
      <c r="N80" s="11">
        <v>0</v>
      </c>
    </row>
    <row r="81" spans="1:14" x14ac:dyDescent="0.3">
      <c r="A81" s="10">
        <v>46020</v>
      </c>
      <c r="B81" t="s">
        <v>19</v>
      </c>
      <c r="C81" t="str">
        <f t="shared" si="4"/>
        <v>34285617881</v>
      </c>
      <c r="D81" t="str">
        <f t="shared" si="5"/>
        <v>Client81</v>
      </c>
      <c r="E81" t="str">
        <f t="shared" si="3"/>
        <v>BOB81</v>
      </c>
      <c r="F81" t="s">
        <v>32</v>
      </c>
      <c r="G81" s="11" t="s">
        <v>22</v>
      </c>
      <c r="H81" s="11">
        <v>0</v>
      </c>
      <c r="I81" s="11">
        <v>0</v>
      </c>
      <c r="J81" s="11">
        <v>0</v>
      </c>
      <c r="K81" s="11">
        <v>0</v>
      </c>
      <c r="L81" s="11">
        <v>0</v>
      </c>
      <c r="M81" s="11">
        <v>0</v>
      </c>
      <c r="N81" s="11">
        <v>0</v>
      </c>
    </row>
    <row r="82" spans="1:14" x14ac:dyDescent="0.3">
      <c r="A82" s="10">
        <v>46020</v>
      </c>
      <c r="B82" t="s">
        <v>19</v>
      </c>
      <c r="C82" t="str">
        <f t="shared" si="4"/>
        <v>34285617882</v>
      </c>
      <c r="D82" t="str">
        <f t="shared" si="5"/>
        <v>Client82</v>
      </c>
      <c r="E82" t="str">
        <f t="shared" si="3"/>
        <v>BOB82</v>
      </c>
      <c r="G82" s="11"/>
      <c r="H82" s="11">
        <v>0</v>
      </c>
      <c r="I82" s="11">
        <v>0</v>
      </c>
      <c r="J82" s="11">
        <v>0</v>
      </c>
      <c r="K82" s="11">
        <v>2000000</v>
      </c>
      <c r="L82" s="11">
        <v>6401400</v>
      </c>
      <c r="M82" s="11">
        <v>7092000</v>
      </c>
      <c r="N82" s="11">
        <v>0</v>
      </c>
    </row>
    <row r="83" spans="1:14" x14ac:dyDescent="0.3">
      <c r="A83" s="10">
        <v>46020</v>
      </c>
      <c r="B83" t="s">
        <v>19</v>
      </c>
      <c r="C83" t="str">
        <f t="shared" si="4"/>
        <v>34285617883</v>
      </c>
      <c r="D83" t="str">
        <f t="shared" si="5"/>
        <v>Client83</v>
      </c>
      <c r="E83" t="str">
        <f t="shared" si="3"/>
        <v>BOB83</v>
      </c>
      <c r="F83" t="s">
        <v>21</v>
      </c>
      <c r="G83" s="11" t="s">
        <v>22</v>
      </c>
      <c r="H83" s="11">
        <v>0</v>
      </c>
      <c r="I83" s="11">
        <v>0</v>
      </c>
      <c r="J83" s="11">
        <v>0</v>
      </c>
      <c r="K83" s="11">
        <v>0</v>
      </c>
      <c r="L83" s="11">
        <v>232000</v>
      </c>
      <c r="M83" s="11">
        <v>0</v>
      </c>
      <c r="N83" s="11">
        <v>0</v>
      </c>
    </row>
    <row r="84" spans="1:14" x14ac:dyDescent="0.3">
      <c r="A84" s="10">
        <v>46020</v>
      </c>
      <c r="B84" t="s">
        <v>19</v>
      </c>
      <c r="C84" t="str">
        <f t="shared" si="4"/>
        <v>34285617884</v>
      </c>
      <c r="D84" t="str">
        <f t="shared" si="5"/>
        <v>Client84</v>
      </c>
      <c r="E84" t="str">
        <f t="shared" si="3"/>
        <v>BOB84</v>
      </c>
      <c r="F84" t="s">
        <v>32</v>
      </c>
      <c r="G84" s="11" t="s">
        <v>22</v>
      </c>
      <c r="H84" s="11">
        <v>0</v>
      </c>
      <c r="I84" s="11">
        <v>0</v>
      </c>
      <c r="J84" s="11">
        <v>0</v>
      </c>
      <c r="K84" s="11">
        <v>0</v>
      </c>
      <c r="L84" s="11">
        <v>12435200</v>
      </c>
      <c r="M84" s="11">
        <v>12118900</v>
      </c>
      <c r="N84" s="11">
        <v>0</v>
      </c>
    </row>
    <row r="85" spans="1:14" x14ac:dyDescent="0.3">
      <c r="A85" s="10">
        <v>46020</v>
      </c>
      <c r="B85" t="s">
        <v>19</v>
      </c>
      <c r="C85" t="str">
        <f t="shared" si="4"/>
        <v>34285617885</v>
      </c>
      <c r="D85" t="str">
        <f t="shared" si="5"/>
        <v>Client85</v>
      </c>
      <c r="E85" t="str">
        <f t="shared" si="3"/>
        <v>BOB85</v>
      </c>
      <c r="G85" s="11"/>
      <c r="H85" s="11">
        <v>0</v>
      </c>
      <c r="I85" s="11">
        <v>0</v>
      </c>
      <c r="J85" s="11">
        <v>0</v>
      </c>
      <c r="K85" s="11">
        <v>0</v>
      </c>
      <c r="L85" s="11">
        <v>7035800</v>
      </c>
      <c r="M85" s="11">
        <v>8263100</v>
      </c>
      <c r="N85" s="11">
        <v>0</v>
      </c>
    </row>
    <row r="86" spans="1:14" x14ac:dyDescent="0.3">
      <c r="A86" s="10">
        <v>46020</v>
      </c>
      <c r="B86" t="s">
        <v>19</v>
      </c>
      <c r="C86" t="str">
        <f t="shared" si="4"/>
        <v>34285617886</v>
      </c>
      <c r="D86" t="str">
        <f t="shared" si="5"/>
        <v>Client86</v>
      </c>
      <c r="E86" t="str">
        <f t="shared" si="3"/>
        <v>BOB86</v>
      </c>
      <c r="F86" t="s">
        <v>24</v>
      </c>
      <c r="G86" s="11" t="s">
        <v>22</v>
      </c>
      <c r="H86" s="11">
        <v>0</v>
      </c>
      <c r="I86" s="11">
        <v>0</v>
      </c>
      <c r="J86" s="11">
        <v>0</v>
      </c>
      <c r="K86" s="11">
        <v>0</v>
      </c>
      <c r="L86" s="11">
        <v>10630600</v>
      </c>
      <c r="M86" s="11">
        <v>10604100</v>
      </c>
      <c r="N86" s="11">
        <v>0</v>
      </c>
    </row>
    <row r="87" spans="1:14" x14ac:dyDescent="0.3">
      <c r="A87" s="10">
        <v>46020</v>
      </c>
      <c r="B87" t="s">
        <v>19</v>
      </c>
      <c r="C87" t="str">
        <f t="shared" si="4"/>
        <v>34285617887</v>
      </c>
      <c r="D87" t="str">
        <f t="shared" si="5"/>
        <v>Client87</v>
      </c>
      <c r="E87" t="str">
        <f t="shared" si="3"/>
        <v>BOB87</v>
      </c>
      <c r="F87" t="s">
        <v>24</v>
      </c>
      <c r="G87" s="11" t="s">
        <v>22</v>
      </c>
      <c r="H87" s="11">
        <v>0</v>
      </c>
      <c r="I87" s="11">
        <v>0</v>
      </c>
      <c r="J87" s="11">
        <v>0</v>
      </c>
      <c r="K87" s="11">
        <v>3004500</v>
      </c>
      <c r="L87" s="11">
        <v>7435400</v>
      </c>
      <c r="M87" s="11">
        <v>10757100</v>
      </c>
      <c r="N87" s="11">
        <v>0</v>
      </c>
    </row>
    <row r="88" spans="1:14" x14ac:dyDescent="0.3">
      <c r="A88" s="10">
        <v>46020</v>
      </c>
      <c r="B88" t="s">
        <v>19</v>
      </c>
      <c r="C88" t="str">
        <f t="shared" si="4"/>
        <v>34285617888</v>
      </c>
      <c r="D88" t="str">
        <f t="shared" si="5"/>
        <v>Client88</v>
      </c>
      <c r="E88" t="str">
        <f t="shared" si="3"/>
        <v>BOB88</v>
      </c>
      <c r="F88" t="s">
        <v>32</v>
      </c>
      <c r="G88" s="11" t="s">
        <v>22</v>
      </c>
      <c r="H88" s="11">
        <v>0</v>
      </c>
      <c r="I88" s="11">
        <v>17571000</v>
      </c>
      <c r="J88" s="11">
        <v>0</v>
      </c>
      <c r="K88" s="11">
        <v>0</v>
      </c>
      <c r="L88" s="11">
        <v>35168600</v>
      </c>
      <c r="M88" s="11">
        <v>51678600</v>
      </c>
      <c r="N88" s="11">
        <v>0</v>
      </c>
    </row>
    <row r="89" spans="1:14" x14ac:dyDescent="0.3">
      <c r="A89" s="10">
        <v>46020</v>
      </c>
      <c r="B89" t="s">
        <v>19</v>
      </c>
      <c r="C89" t="str">
        <f t="shared" si="4"/>
        <v>34285617889</v>
      </c>
      <c r="D89" t="str">
        <f t="shared" si="5"/>
        <v>Client89</v>
      </c>
      <c r="E89" t="str">
        <f t="shared" si="3"/>
        <v>BOB89</v>
      </c>
      <c r="F89" t="s">
        <v>21</v>
      </c>
      <c r="G89" s="11" t="s">
        <v>22</v>
      </c>
      <c r="H89" s="11">
        <v>0</v>
      </c>
      <c r="I89" s="11">
        <v>0</v>
      </c>
      <c r="J89" s="11">
        <v>0</v>
      </c>
      <c r="K89" s="11">
        <v>3004500</v>
      </c>
      <c r="L89" s="11">
        <v>9188500</v>
      </c>
      <c r="M89" s="11">
        <v>11256900</v>
      </c>
      <c r="N89" s="11">
        <v>0</v>
      </c>
    </row>
    <row r="90" spans="1:14" x14ac:dyDescent="0.3">
      <c r="A90" s="10">
        <v>46020</v>
      </c>
      <c r="B90" t="s">
        <v>19</v>
      </c>
      <c r="C90" t="str">
        <f t="shared" si="4"/>
        <v>34285617890</v>
      </c>
      <c r="D90" t="str">
        <f t="shared" si="5"/>
        <v>Client90</v>
      </c>
      <c r="E90" t="str">
        <f t="shared" si="3"/>
        <v>BOB90</v>
      </c>
      <c r="F90" t="s">
        <v>30</v>
      </c>
      <c r="G90" s="11" t="s">
        <v>76</v>
      </c>
      <c r="H90" s="11">
        <v>0</v>
      </c>
      <c r="I90" s="11">
        <v>0</v>
      </c>
      <c r="J90" s="11">
        <v>1000000</v>
      </c>
      <c r="K90" s="11">
        <v>0</v>
      </c>
      <c r="L90" s="11">
        <v>22342200</v>
      </c>
      <c r="M90" s="11">
        <v>20282400</v>
      </c>
      <c r="N90" s="11">
        <v>0</v>
      </c>
    </row>
    <row r="91" spans="1:14" x14ac:dyDescent="0.3">
      <c r="A91" s="10">
        <v>46020</v>
      </c>
      <c r="B91" t="s">
        <v>19</v>
      </c>
      <c r="C91" t="str">
        <f t="shared" si="4"/>
        <v>34285617891</v>
      </c>
      <c r="D91" t="str">
        <f t="shared" si="5"/>
        <v>Client91</v>
      </c>
      <c r="E91" t="str">
        <f t="shared" si="3"/>
        <v>BOB91</v>
      </c>
      <c r="F91" t="s">
        <v>68</v>
      </c>
      <c r="G91" s="11" t="s">
        <v>22</v>
      </c>
      <c r="H91" s="11">
        <v>20518300</v>
      </c>
      <c r="I91" s="11">
        <v>0</v>
      </c>
      <c r="J91" s="11">
        <v>0</v>
      </c>
      <c r="K91" s="11">
        <v>0</v>
      </c>
      <c r="L91" s="11">
        <v>20531900</v>
      </c>
      <c r="M91" s="11">
        <v>0</v>
      </c>
      <c r="N91" s="11">
        <v>0</v>
      </c>
    </row>
    <row r="92" spans="1:14" x14ac:dyDescent="0.3">
      <c r="A92" s="10">
        <v>46020</v>
      </c>
      <c r="B92" t="s">
        <v>19</v>
      </c>
      <c r="C92" t="str">
        <f t="shared" si="4"/>
        <v>34285617892</v>
      </c>
      <c r="D92" t="str">
        <f t="shared" si="5"/>
        <v>Client92</v>
      </c>
      <c r="E92" t="str">
        <f t="shared" si="3"/>
        <v>BOB92</v>
      </c>
      <c r="F92" t="s">
        <v>30</v>
      </c>
      <c r="G92" s="11" t="s">
        <v>78</v>
      </c>
      <c r="H92" s="11">
        <v>0</v>
      </c>
      <c r="I92" s="11">
        <v>0</v>
      </c>
      <c r="J92" s="11">
        <v>0</v>
      </c>
      <c r="K92" s="11">
        <v>2204500</v>
      </c>
      <c r="L92" s="11">
        <v>4329200</v>
      </c>
      <c r="M92" s="11">
        <v>6388600</v>
      </c>
      <c r="N92" s="11">
        <v>0</v>
      </c>
    </row>
    <row r="93" spans="1:14" x14ac:dyDescent="0.3">
      <c r="A93" s="10">
        <v>46020</v>
      </c>
      <c r="B93" t="s">
        <v>19</v>
      </c>
      <c r="C93" t="str">
        <f t="shared" si="4"/>
        <v>34285617893</v>
      </c>
      <c r="D93" t="str">
        <f t="shared" si="5"/>
        <v>Client93</v>
      </c>
      <c r="E93" t="str">
        <f t="shared" si="3"/>
        <v>BOB93</v>
      </c>
      <c r="F93" t="s">
        <v>68</v>
      </c>
      <c r="G93" s="11" t="s">
        <v>79</v>
      </c>
      <c r="H93" s="11">
        <v>0</v>
      </c>
      <c r="I93" s="11">
        <v>0</v>
      </c>
      <c r="J93" s="11">
        <v>0</v>
      </c>
      <c r="K93" s="11">
        <v>22048000</v>
      </c>
      <c r="L93" s="11">
        <v>6133300</v>
      </c>
      <c r="M93" s="11">
        <v>25989000</v>
      </c>
      <c r="N93" s="11">
        <v>0</v>
      </c>
    </row>
    <row r="94" spans="1:14" x14ac:dyDescent="0.3">
      <c r="A94" s="10">
        <v>46020</v>
      </c>
      <c r="B94" t="s">
        <v>19</v>
      </c>
      <c r="C94" t="str">
        <f t="shared" si="4"/>
        <v>34285617894</v>
      </c>
      <c r="D94" t="str">
        <f t="shared" si="5"/>
        <v>Client94</v>
      </c>
      <c r="E94" t="str">
        <f t="shared" si="3"/>
        <v>BOB94</v>
      </c>
      <c r="F94" t="s">
        <v>32</v>
      </c>
      <c r="G94" s="11" t="s">
        <v>22</v>
      </c>
      <c r="H94" s="11">
        <v>0</v>
      </c>
      <c r="I94" s="11">
        <v>0</v>
      </c>
      <c r="J94" s="11">
        <v>0</v>
      </c>
      <c r="K94" s="11">
        <v>0</v>
      </c>
      <c r="L94" s="11">
        <v>1266800</v>
      </c>
      <c r="M94" s="11">
        <v>1185000</v>
      </c>
      <c r="N94" s="11">
        <v>0</v>
      </c>
    </row>
    <row r="95" spans="1:14" x14ac:dyDescent="0.3">
      <c r="A95" s="10">
        <v>46020</v>
      </c>
      <c r="B95" t="s">
        <v>19</v>
      </c>
      <c r="C95" t="str">
        <f t="shared" si="4"/>
        <v>34285617895</v>
      </c>
      <c r="D95" t="str">
        <f t="shared" si="5"/>
        <v>Client95</v>
      </c>
      <c r="E95" t="str">
        <f t="shared" si="3"/>
        <v>BOB95</v>
      </c>
      <c r="F95" t="s">
        <v>32</v>
      </c>
      <c r="G95" s="11" t="s">
        <v>22</v>
      </c>
      <c r="H95" s="11">
        <v>0</v>
      </c>
      <c r="I95" s="11">
        <v>0</v>
      </c>
      <c r="J95" s="11">
        <v>3161000</v>
      </c>
      <c r="K95" s="11">
        <v>5110000</v>
      </c>
      <c r="L95" s="11">
        <v>12974000</v>
      </c>
      <c r="M95" s="11">
        <v>15549200</v>
      </c>
      <c r="N95" s="11">
        <v>0</v>
      </c>
    </row>
    <row r="96" spans="1:14" x14ac:dyDescent="0.3">
      <c r="A96" s="10">
        <v>46020</v>
      </c>
      <c r="B96" t="s">
        <v>19</v>
      </c>
      <c r="C96" t="str">
        <f t="shared" si="4"/>
        <v>34285617896</v>
      </c>
      <c r="D96" t="str">
        <f t="shared" si="5"/>
        <v>Client96</v>
      </c>
      <c r="E96" t="str">
        <f t="shared" si="3"/>
        <v>BOB96</v>
      </c>
      <c r="F96" t="s">
        <v>32</v>
      </c>
      <c r="G96" s="11" t="s">
        <v>22</v>
      </c>
      <c r="H96" s="11">
        <v>0</v>
      </c>
      <c r="I96" s="11">
        <v>0</v>
      </c>
      <c r="J96" s="11">
        <v>0</v>
      </c>
      <c r="K96" s="11">
        <v>0</v>
      </c>
      <c r="L96" s="11">
        <v>11156200</v>
      </c>
      <c r="M96" s="11">
        <v>11169300</v>
      </c>
      <c r="N96" s="11">
        <v>0</v>
      </c>
    </row>
    <row r="97" spans="1:14" x14ac:dyDescent="0.3">
      <c r="A97" s="10">
        <v>46020</v>
      </c>
      <c r="B97" t="s">
        <v>19</v>
      </c>
      <c r="C97" t="str">
        <f t="shared" si="4"/>
        <v>34285617897</v>
      </c>
      <c r="D97" t="str">
        <f t="shared" si="5"/>
        <v>Client97</v>
      </c>
      <c r="E97" t="str">
        <f t="shared" si="3"/>
        <v>BOB97</v>
      </c>
      <c r="G97" s="11"/>
      <c r="H97" s="11">
        <v>0</v>
      </c>
      <c r="I97" s="11">
        <v>0</v>
      </c>
      <c r="J97" s="11">
        <v>0</v>
      </c>
      <c r="K97" s="11">
        <v>0</v>
      </c>
      <c r="L97" s="11">
        <v>46385700</v>
      </c>
      <c r="M97" s="11">
        <v>52585300</v>
      </c>
      <c r="N97" s="11">
        <v>0</v>
      </c>
    </row>
    <row r="98" spans="1:14" x14ac:dyDescent="0.3">
      <c r="A98" s="10">
        <v>46020</v>
      </c>
      <c r="B98" t="s">
        <v>19</v>
      </c>
      <c r="C98" t="str">
        <f t="shared" si="4"/>
        <v>34285617898</v>
      </c>
      <c r="D98" t="str">
        <f t="shared" si="5"/>
        <v>Client98</v>
      </c>
      <c r="E98" t="str">
        <f t="shared" si="3"/>
        <v>BOB98</v>
      </c>
      <c r="F98" t="s">
        <v>80</v>
      </c>
      <c r="G98" s="11" t="s">
        <v>80</v>
      </c>
      <c r="H98" s="11">
        <v>0</v>
      </c>
      <c r="I98" s="11">
        <v>0</v>
      </c>
      <c r="J98" s="11">
        <v>0</v>
      </c>
      <c r="K98" s="11">
        <v>0</v>
      </c>
      <c r="L98" s="11">
        <v>0</v>
      </c>
      <c r="M98" s="11">
        <v>0</v>
      </c>
      <c r="N98" s="11">
        <v>0</v>
      </c>
    </row>
    <row r="99" spans="1:14" x14ac:dyDescent="0.3">
      <c r="A99" s="10">
        <v>46020</v>
      </c>
      <c r="B99" t="s">
        <v>19</v>
      </c>
      <c r="C99" t="str">
        <f t="shared" si="4"/>
        <v>34285617899</v>
      </c>
      <c r="D99" t="str">
        <f t="shared" si="5"/>
        <v>Client99</v>
      </c>
      <c r="E99" t="str">
        <f t="shared" si="3"/>
        <v>BOB99</v>
      </c>
      <c r="F99" t="s">
        <v>21</v>
      </c>
      <c r="G99" s="11" t="s">
        <v>22</v>
      </c>
      <c r="H99" s="11">
        <v>0</v>
      </c>
      <c r="I99" s="11">
        <v>0</v>
      </c>
      <c r="J99" s="11">
        <v>0</v>
      </c>
      <c r="K99" s="11">
        <v>0</v>
      </c>
      <c r="L99" s="11">
        <v>15974500</v>
      </c>
      <c r="M99" s="11">
        <v>15996900</v>
      </c>
      <c r="N99" s="11">
        <v>0</v>
      </c>
    </row>
    <row r="100" spans="1:14" x14ac:dyDescent="0.3">
      <c r="A100" s="10">
        <v>46020</v>
      </c>
      <c r="B100" t="s">
        <v>19</v>
      </c>
      <c r="C100" t="str">
        <f t="shared" si="4"/>
        <v>342856178100</v>
      </c>
      <c r="D100" t="str">
        <f t="shared" si="5"/>
        <v>Client100</v>
      </c>
      <c r="E100" t="str">
        <f t="shared" si="3"/>
        <v>BOB100</v>
      </c>
      <c r="F100" t="s">
        <v>24</v>
      </c>
      <c r="G100" s="11" t="s">
        <v>22</v>
      </c>
      <c r="H100" s="11">
        <v>0</v>
      </c>
      <c r="I100" s="11">
        <v>0</v>
      </c>
      <c r="J100" s="11">
        <v>400000</v>
      </c>
      <c r="K100" s="11">
        <v>1200000</v>
      </c>
      <c r="L100" s="11">
        <v>4788100</v>
      </c>
      <c r="M100" s="11">
        <v>5510200</v>
      </c>
      <c r="N100" s="11">
        <v>0</v>
      </c>
    </row>
    <row r="101" spans="1:14" x14ac:dyDescent="0.3">
      <c r="A101" s="10">
        <v>46020</v>
      </c>
      <c r="B101" t="s">
        <v>19</v>
      </c>
      <c r="C101" t="str">
        <f t="shared" si="4"/>
        <v>342856178101</v>
      </c>
      <c r="D101" t="str">
        <f t="shared" si="5"/>
        <v>Client101</v>
      </c>
      <c r="E101" t="str">
        <f t="shared" si="3"/>
        <v>BOB101</v>
      </c>
      <c r="F101" t="s">
        <v>32</v>
      </c>
      <c r="G101" s="11" t="s">
        <v>22</v>
      </c>
      <c r="H101" s="11">
        <v>0</v>
      </c>
      <c r="I101" s="11">
        <v>0</v>
      </c>
      <c r="J101" s="11">
        <v>0</v>
      </c>
      <c r="K101" s="11">
        <v>0</v>
      </c>
      <c r="L101" s="11">
        <v>12655100</v>
      </c>
      <c r="M101" s="11">
        <v>16221800</v>
      </c>
      <c r="N101" s="11">
        <v>0</v>
      </c>
    </row>
    <row r="102" spans="1:14" x14ac:dyDescent="0.3">
      <c r="A102" s="10">
        <v>46020</v>
      </c>
      <c r="B102" t="s">
        <v>19</v>
      </c>
      <c r="C102" t="str">
        <f t="shared" si="4"/>
        <v>342856178102</v>
      </c>
      <c r="D102" t="str">
        <f t="shared" si="5"/>
        <v>Client102</v>
      </c>
      <c r="E102" t="str">
        <f t="shared" si="3"/>
        <v>BOB102</v>
      </c>
      <c r="F102" t="s">
        <v>81</v>
      </c>
      <c r="G102" s="11" t="s">
        <v>82</v>
      </c>
      <c r="H102" s="11">
        <v>0</v>
      </c>
      <c r="I102" s="11">
        <v>0</v>
      </c>
      <c r="J102" s="11">
        <v>0</v>
      </c>
      <c r="K102" s="11">
        <v>0</v>
      </c>
      <c r="L102" s="11">
        <v>52623300</v>
      </c>
      <c r="M102" s="11">
        <v>55092300</v>
      </c>
      <c r="N102" s="11">
        <v>0</v>
      </c>
    </row>
    <row r="103" spans="1:14" x14ac:dyDescent="0.3">
      <c r="A103" s="10">
        <v>46020</v>
      </c>
      <c r="B103" t="s">
        <v>19</v>
      </c>
      <c r="C103" t="str">
        <f t="shared" si="4"/>
        <v>342856178103</v>
      </c>
      <c r="D103" t="str">
        <f t="shared" si="5"/>
        <v>Client103</v>
      </c>
      <c r="E103" t="str">
        <f t="shared" si="3"/>
        <v>BOB103</v>
      </c>
      <c r="F103" t="s">
        <v>30</v>
      </c>
      <c r="G103" s="11" t="s">
        <v>70</v>
      </c>
      <c r="H103" s="11">
        <v>0</v>
      </c>
      <c r="I103" s="11">
        <v>0</v>
      </c>
      <c r="J103" s="11">
        <v>0</v>
      </c>
      <c r="K103" s="11">
        <v>4900000</v>
      </c>
      <c r="L103" s="11">
        <v>12298300</v>
      </c>
      <c r="M103" s="11">
        <v>16523500</v>
      </c>
      <c r="N103" s="11">
        <v>0</v>
      </c>
    </row>
    <row r="104" spans="1:14" x14ac:dyDescent="0.3">
      <c r="A104" s="10">
        <v>46020</v>
      </c>
      <c r="B104" t="s">
        <v>19</v>
      </c>
      <c r="C104" t="str">
        <f t="shared" si="4"/>
        <v>342856178104</v>
      </c>
      <c r="D104" t="str">
        <f t="shared" si="5"/>
        <v>Client104</v>
      </c>
      <c r="E104" t="str">
        <f t="shared" si="3"/>
        <v>BOB104</v>
      </c>
      <c r="F104" t="s">
        <v>21</v>
      </c>
      <c r="G104" s="11" t="s">
        <v>22</v>
      </c>
      <c r="H104" s="11">
        <v>0</v>
      </c>
      <c r="I104" s="11">
        <v>0</v>
      </c>
      <c r="J104" s="11">
        <v>0</v>
      </c>
      <c r="K104" s="11">
        <v>200000</v>
      </c>
      <c r="L104" s="11">
        <v>931700</v>
      </c>
      <c r="M104" s="11">
        <v>1107000</v>
      </c>
      <c r="N104" s="11">
        <v>0</v>
      </c>
    </row>
    <row r="105" spans="1:14" x14ac:dyDescent="0.3">
      <c r="A105" s="10">
        <v>46020</v>
      </c>
      <c r="B105" t="s">
        <v>19</v>
      </c>
      <c r="C105" t="str">
        <f t="shared" si="4"/>
        <v>342856178105</v>
      </c>
      <c r="D105" t="str">
        <f t="shared" si="5"/>
        <v>Client105</v>
      </c>
      <c r="E105" t="str">
        <f t="shared" si="3"/>
        <v>BOB105</v>
      </c>
      <c r="F105" t="s">
        <v>26</v>
      </c>
      <c r="G105" s="11" t="s">
        <v>27</v>
      </c>
      <c r="H105" s="11">
        <v>0</v>
      </c>
      <c r="I105" s="11">
        <v>0</v>
      </c>
      <c r="J105" s="11">
        <v>0</v>
      </c>
      <c r="K105" s="11">
        <v>0</v>
      </c>
      <c r="L105" s="11">
        <v>4451000</v>
      </c>
      <c r="M105" s="11">
        <v>3554500</v>
      </c>
      <c r="N105" s="11">
        <v>0</v>
      </c>
    </row>
    <row r="106" spans="1:14" x14ac:dyDescent="0.3">
      <c r="A106" s="10">
        <v>46020</v>
      </c>
      <c r="B106" t="s">
        <v>19</v>
      </c>
      <c r="C106" t="str">
        <f t="shared" si="4"/>
        <v>342856178106</v>
      </c>
      <c r="D106" t="str">
        <f t="shared" si="5"/>
        <v>Client106</v>
      </c>
      <c r="E106" t="str">
        <f t="shared" si="3"/>
        <v>BOB106</v>
      </c>
      <c r="F106" t="s">
        <v>32</v>
      </c>
      <c r="G106" s="11" t="s">
        <v>22</v>
      </c>
      <c r="H106" s="11">
        <v>0</v>
      </c>
      <c r="I106" s="11">
        <v>0</v>
      </c>
      <c r="J106" s="11">
        <v>0</v>
      </c>
      <c r="K106" s="11">
        <v>0</v>
      </c>
      <c r="L106" s="11">
        <v>6304200</v>
      </c>
      <c r="M106" s="11">
        <v>6020100</v>
      </c>
      <c r="N106" s="11">
        <v>0</v>
      </c>
    </row>
    <row r="107" spans="1:14" x14ac:dyDescent="0.3">
      <c r="A107" s="10">
        <v>46020</v>
      </c>
      <c r="B107" t="s">
        <v>19</v>
      </c>
      <c r="C107" t="str">
        <f t="shared" si="4"/>
        <v>342856178107</v>
      </c>
      <c r="D107" t="str">
        <f t="shared" si="5"/>
        <v>Client107</v>
      </c>
      <c r="E107" t="str">
        <f t="shared" si="3"/>
        <v>BOB107</v>
      </c>
      <c r="F107" t="s">
        <v>21</v>
      </c>
      <c r="G107" s="11" t="s">
        <v>22</v>
      </c>
      <c r="H107" s="11">
        <v>0</v>
      </c>
      <c r="I107" s="11">
        <v>0</v>
      </c>
      <c r="J107" s="11">
        <v>0</v>
      </c>
      <c r="K107" s="11">
        <v>0</v>
      </c>
      <c r="L107" s="11">
        <v>23832100</v>
      </c>
      <c r="M107" s="11">
        <v>22034200</v>
      </c>
      <c r="N107" s="11">
        <v>0</v>
      </c>
    </row>
    <row r="108" spans="1:14" x14ac:dyDescent="0.3">
      <c r="A108" s="10">
        <v>46020</v>
      </c>
      <c r="B108" t="s">
        <v>19</v>
      </c>
      <c r="C108" t="str">
        <f t="shared" si="4"/>
        <v>342856178108</v>
      </c>
      <c r="D108" t="str">
        <f t="shared" si="5"/>
        <v>Client108</v>
      </c>
      <c r="E108" t="str">
        <f t="shared" si="3"/>
        <v>BOB108</v>
      </c>
      <c r="F108" t="s">
        <v>26</v>
      </c>
      <c r="G108" s="11" t="s">
        <v>27</v>
      </c>
      <c r="H108" s="11">
        <v>0</v>
      </c>
      <c r="I108" s="11">
        <v>0</v>
      </c>
      <c r="J108" s="11">
        <v>0</v>
      </c>
      <c r="K108" s="11">
        <v>0</v>
      </c>
      <c r="L108" s="11">
        <v>2983700</v>
      </c>
      <c r="M108" s="11">
        <v>2621000</v>
      </c>
      <c r="N108" s="11">
        <v>0</v>
      </c>
    </row>
    <row r="109" spans="1:14" x14ac:dyDescent="0.3">
      <c r="A109" s="10">
        <v>46020</v>
      </c>
      <c r="B109" t="s">
        <v>19</v>
      </c>
      <c r="C109" t="str">
        <f t="shared" si="4"/>
        <v>342856178109</v>
      </c>
      <c r="D109" t="str">
        <f t="shared" si="5"/>
        <v>Client109</v>
      </c>
      <c r="E109" t="str">
        <f t="shared" si="3"/>
        <v>BOB109</v>
      </c>
      <c r="F109" t="s">
        <v>32</v>
      </c>
      <c r="G109" s="11" t="s">
        <v>22</v>
      </c>
      <c r="H109" s="11">
        <v>0</v>
      </c>
      <c r="I109" s="11">
        <v>0</v>
      </c>
      <c r="J109" s="11">
        <v>0</v>
      </c>
      <c r="K109" s="11">
        <v>0</v>
      </c>
      <c r="L109" s="11">
        <v>220400</v>
      </c>
      <c r="M109" s="11">
        <v>442000</v>
      </c>
      <c r="N109" s="11">
        <v>0</v>
      </c>
    </row>
    <row r="110" spans="1:14" x14ac:dyDescent="0.3">
      <c r="A110" s="10">
        <v>46020</v>
      </c>
      <c r="B110" t="s">
        <v>19</v>
      </c>
      <c r="C110" t="str">
        <f t="shared" si="4"/>
        <v>342856178110</v>
      </c>
      <c r="D110" t="str">
        <f t="shared" si="5"/>
        <v>Client110</v>
      </c>
      <c r="E110" t="str">
        <f t="shared" si="3"/>
        <v>BOB110</v>
      </c>
      <c r="F110" t="s">
        <v>21</v>
      </c>
      <c r="G110" s="11" t="s">
        <v>22</v>
      </c>
      <c r="H110" s="11">
        <v>0</v>
      </c>
      <c r="I110" s="11">
        <v>0</v>
      </c>
      <c r="J110" s="11">
        <v>0</v>
      </c>
      <c r="K110" s="11">
        <v>0</v>
      </c>
      <c r="L110" s="11">
        <v>16522400</v>
      </c>
      <c r="M110" s="11">
        <v>21941000</v>
      </c>
      <c r="N110" s="11">
        <v>0</v>
      </c>
    </row>
    <row r="111" spans="1:14" x14ac:dyDescent="0.3">
      <c r="A111" s="10">
        <v>46020</v>
      </c>
      <c r="B111" t="s">
        <v>19</v>
      </c>
      <c r="C111" t="str">
        <f t="shared" si="4"/>
        <v>342856178111</v>
      </c>
      <c r="D111" t="str">
        <f t="shared" si="5"/>
        <v>Client111</v>
      </c>
      <c r="E111" t="str">
        <f t="shared" si="3"/>
        <v>BOB111</v>
      </c>
      <c r="F111" t="s">
        <v>32</v>
      </c>
      <c r="G111" s="11" t="s">
        <v>22</v>
      </c>
      <c r="H111" s="11">
        <v>0</v>
      </c>
      <c r="I111" s="11">
        <v>0</v>
      </c>
      <c r="J111" s="11">
        <v>0</v>
      </c>
      <c r="K111" s="11">
        <v>0</v>
      </c>
      <c r="L111" s="11">
        <v>3209400</v>
      </c>
      <c r="M111" s="11">
        <v>2851000</v>
      </c>
      <c r="N111" s="11">
        <v>0</v>
      </c>
    </row>
    <row r="112" spans="1:14" x14ac:dyDescent="0.3">
      <c r="A112" s="10">
        <v>46020</v>
      </c>
      <c r="B112" t="s">
        <v>19</v>
      </c>
      <c r="C112" t="str">
        <f t="shared" si="4"/>
        <v>342856178112</v>
      </c>
      <c r="D112" t="str">
        <f t="shared" si="5"/>
        <v>Client112</v>
      </c>
      <c r="E112" t="str">
        <f t="shared" si="3"/>
        <v>BOB112</v>
      </c>
      <c r="F112" t="s">
        <v>21</v>
      </c>
      <c r="G112" s="11" t="s">
        <v>22</v>
      </c>
      <c r="H112" s="11">
        <v>0</v>
      </c>
      <c r="I112" s="11">
        <v>0</v>
      </c>
      <c r="J112" s="11">
        <v>460000</v>
      </c>
      <c r="K112" s="11">
        <v>533000</v>
      </c>
      <c r="L112" s="11">
        <v>740500</v>
      </c>
      <c r="M112" s="11">
        <v>658500</v>
      </c>
      <c r="N112" s="11">
        <v>0</v>
      </c>
    </row>
    <row r="113" spans="1:14" x14ac:dyDescent="0.3">
      <c r="A113" s="10">
        <v>46020</v>
      </c>
      <c r="B113" t="s">
        <v>19</v>
      </c>
      <c r="C113" t="str">
        <f t="shared" si="4"/>
        <v>342856178113</v>
      </c>
      <c r="D113" t="str">
        <f t="shared" si="5"/>
        <v>Client113</v>
      </c>
      <c r="E113" t="str">
        <f t="shared" si="3"/>
        <v>BOB113</v>
      </c>
      <c r="F113" t="s">
        <v>32</v>
      </c>
      <c r="G113" s="11" t="s">
        <v>22</v>
      </c>
      <c r="H113" s="11">
        <v>0</v>
      </c>
      <c r="I113" s="11">
        <v>1001500</v>
      </c>
      <c r="J113" s="11">
        <v>0</v>
      </c>
      <c r="K113" s="11">
        <v>1000000</v>
      </c>
      <c r="L113" s="11">
        <v>10952800</v>
      </c>
      <c r="M113" s="11">
        <v>12975300</v>
      </c>
      <c r="N113" s="11">
        <v>0</v>
      </c>
    </row>
    <row r="114" spans="1:14" x14ac:dyDescent="0.3">
      <c r="A114" s="10">
        <v>46020</v>
      </c>
      <c r="B114" t="s">
        <v>19</v>
      </c>
      <c r="C114" t="str">
        <f t="shared" si="4"/>
        <v>342856178114</v>
      </c>
      <c r="D114" t="str">
        <f t="shared" si="5"/>
        <v>Client114</v>
      </c>
      <c r="E114" t="str">
        <f t="shared" si="3"/>
        <v>BOB114</v>
      </c>
      <c r="F114" t="s">
        <v>21</v>
      </c>
      <c r="G114" s="11" t="s">
        <v>22</v>
      </c>
      <c r="H114" s="11">
        <v>0</v>
      </c>
      <c r="I114" s="11">
        <v>0</v>
      </c>
      <c r="J114" s="11">
        <v>3070000</v>
      </c>
      <c r="K114" s="11">
        <v>2950000</v>
      </c>
      <c r="L114" s="11">
        <v>9323400</v>
      </c>
      <c r="M114" s="11">
        <v>9132800</v>
      </c>
      <c r="N114" s="11">
        <v>0</v>
      </c>
    </row>
    <row r="115" spans="1:14" x14ac:dyDescent="0.3">
      <c r="A115" s="10">
        <v>46020</v>
      </c>
      <c r="B115" t="s">
        <v>19</v>
      </c>
      <c r="C115" t="str">
        <f t="shared" si="4"/>
        <v>342856178115</v>
      </c>
      <c r="D115" t="str">
        <f t="shared" si="5"/>
        <v>Client115</v>
      </c>
      <c r="E115" t="str">
        <f t="shared" si="3"/>
        <v>BOB115</v>
      </c>
      <c r="F115" t="s">
        <v>21</v>
      </c>
      <c r="G115" s="11" t="s">
        <v>22</v>
      </c>
      <c r="H115" s="11">
        <v>0</v>
      </c>
      <c r="I115" s="11">
        <v>0</v>
      </c>
      <c r="J115" s="11">
        <v>0</v>
      </c>
      <c r="K115" s="11">
        <v>0</v>
      </c>
      <c r="L115" s="11">
        <v>9617000</v>
      </c>
      <c r="M115" s="11">
        <v>5460900</v>
      </c>
      <c r="N115" s="11">
        <v>0</v>
      </c>
    </row>
    <row r="116" spans="1:14" x14ac:dyDescent="0.3">
      <c r="A116" s="10">
        <v>46020</v>
      </c>
      <c r="B116" t="s">
        <v>19</v>
      </c>
      <c r="C116" t="str">
        <f t="shared" si="4"/>
        <v>342856178116</v>
      </c>
      <c r="D116" t="str">
        <f t="shared" si="5"/>
        <v>Client116</v>
      </c>
      <c r="E116" t="str">
        <f t="shared" si="3"/>
        <v>BOB116</v>
      </c>
      <c r="F116" t="s">
        <v>30</v>
      </c>
      <c r="G116" s="11" t="s">
        <v>22</v>
      </c>
      <c r="H116" s="11">
        <v>0</v>
      </c>
      <c r="I116" s="11">
        <v>0</v>
      </c>
      <c r="J116" s="11">
        <v>0</v>
      </c>
      <c r="K116" s="11">
        <v>6600000</v>
      </c>
      <c r="L116" s="11">
        <v>3257900</v>
      </c>
      <c r="M116" s="11">
        <v>12281800</v>
      </c>
      <c r="N116" s="11">
        <v>0</v>
      </c>
    </row>
    <row r="117" spans="1:14" x14ac:dyDescent="0.3">
      <c r="A117" s="10">
        <v>46020</v>
      </c>
      <c r="B117" t="s">
        <v>19</v>
      </c>
      <c r="C117" t="str">
        <f t="shared" si="4"/>
        <v>342856178117</v>
      </c>
      <c r="D117" t="str">
        <f t="shared" si="5"/>
        <v>Client117</v>
      </c>
      <c r="E117" t="str">
        <f t="shared" si="3"/>
        <v>BOB117</v>
      </c>
      <c r="F117" t="s">
        <v>21</v>
      </c>
      <c r="G117" s="11" t="s">
        <v>22</v>
      </c>
      <c r="H117" s="11">
        <v>0</v>
      </c>
      <c r="I117" s="11">
        <v>0</v>
      </c>
      <c r="J117" s="11">
        <v>0</v>
      </c>
      <c r="K117" s="11">
        <v>0</v>
      </c>
      <c r="L117" s="11">
        <v>29307300</v>
      </c>
      <c r="M117" s="11">
        <v>27494500</v>
      </c>
      <c r="N117" s="11">
        <v>0</v>
      </c>
    </row>
    <row r="118" spans="1:14" x14ac:dyDescent="0.3">
      <c r="A118" s="10">
        <v>46020</v>
      </c>
      <c r="B118" t="s">
        <v>19</v>
      </c>
      <c r="C118" t="str">
        <f t="shared" si="4"/>
        <v>342856178118</v>
      </c>
      <c r="D118" t="str">
        <f t="shared" si="5"/>
        <v>Client118</v>
      </c>
      <c r="E118" t="str">
        <f t="shared" si="3"/>
        <v>BOB118</v>
      </c>
      <c r="F118" t="s">
        <v>21</v>
      </c>
      <c r="G118" s="11" t="s">
        <v>22</v>
      </c>
      <c r="H118" s="11">
        <v>0</v>
      </c>
      <c r="I118" s="11">
        <v>0</v>
      </c>
      <c r="J118" s="11">
        <v>0</v>
      </c>
      <c r="K118" s="11">
        <v>0</v>
      </c>
      <c r="L118" s="11">
        <v>3114600</v>
      </c>
      <c r="M118" s="11">
        <v>3234100</v>
      </c>
      <c r="N118" s="11">
        <v>0</v>
      </c>
    </row>
    <row r="119" spans="1:14" x14ac:dyDescent="0.3">
      <c r="A119" s="10">
        <v>46020</v>
      </c>
      <c r="B119" t="s">
        <v>19</v>
      </c>
      <c r="C119" t="str">
        <f t="shared" si="4"/>
        <v>342856178119</v>
      </c>
      <c r="D119" t="str">
        <f t="shared" si="5"/>
        <v>Client119</v>
      </c>
      <c r="E119" t="str">
        <f t="shared" si="3"/>
        <v>BOB119</v>
      </c>
      <c r="G119" s="11"/>
      <c r="H119" s="11">
        <v>0</v>
      </c>
      <c r="I119" s="11">
        <v>0</v>
      </c>
      <c r="J119" s="11">
        <v>0</v>
      </c>
      <c r="K119" s="11">
        <v>0</v>
      </c>
      <c r="L119" s="11">
        <v>995700</v>
      </c>
      <c r="M119" s="11">
        <v>1010000</v>
      </c>
      <c r="N119" s="11">
        <v>0</v>
      </c>
    </row>
    <row r="120" spans="1:14" x14ac:dyDescent="0.3">
      <c r="A120" s="10">
        <v>46020</v>
      </c>
      <c r="B120" t="s">
        <v>19</v>
      </c>
      <c r="C120" t="str">
        <f t="shared" si="4"/>
        <v>342856178120</v>
      </c>
      <c r="D120" t="str">
        <f t="shared" si="5"/>
        <v>Client120</v>
      </c>
      <c r="E120" t="str">
        <f t="shared" si="3"/>
        <v>BOB120</v>
      </c>
      <c r="F120" t="s">
        <v>21</v>
      </c>
      <c r="G120" s="11" t="s">
        <v>22</v>
      </c>
      <c r="H120" s="11">
        <v>0</v>
      </c>
      <c r="I120" s="11">
        <v>0</v>
      </c>
      <c r="J120" s="11">
        <v>200000</v>
      </c>
      <c r="K120" s="11">
        <v>200000</v>
      </c>
      <c r="L120" s="11">
        <v>19466000</v>
      </c>
      <c r="M120" s="11">
        <v>19036300</v>
      </c>
      <c r="N120" s="11">
        <v>0</v>
      </c>
    </row>
    <row r="121" spans="1:14" x14ac:dyDescent="0.3">
      <c r="A121" s="10">
        <v>46020</v>
      </c>
      <c r="B121" t="s">
        <v>19</v>
      </c>
      <c r="C121" t="str">
        <f t="shared" si="4"/>
        <v>342856178121</v>
      </c>
      <c r="D121" t="str">
        <f t="shared" si="5"/>
        <v>Client121</v>
      </c>
      <c r="E121" t="str">
        <f t="shared" si="3"/>
        <v>BOB121</v>
      </c>
      <c r="F121" t="s">
        <v>24</v>
      </c>
      <c r="G121" s="11" t="s">
        <v>22</v>
      </c>
      <c r="H121" s="11">
        <v>0</v>
      </c>
      <c r="I121" s="11">
        <v>0</v>
      </c>
      <c r="J121" s="11">
        <v>0</v>
      </c>
      <c r="K121" s="11">
        <v>0</v>
      </c>
      <c r="L121" s="11">
        <v>0</v>
      </c>
      <c r="M121" s="11">
        <v>0</v>
      </c>
      <c r="N121" s="11">
        <v>0</v>
      </c>
    </row>
    <row r="122" spans="1:14" x14ac:dyDescent="0.3">
      <c r="A122" s="10">
        <v>46020</v>
      </c>
      <c r="B122" t="s">
        <v>19</v>
      </c>
      <c r="C122" t="str">
        <f t="shared" si="4"/>
        <v>342856178122</v>
      </c>
      <c r="D122" t="str">
        <f t="shared" si="5"/>
        <v>Client122</v>
      </c>
      <c r="E122" t="str">
        <f t="shared" si="3"/>
        <v>BOB122</v>
      </c>
      <c r="F122" t="s">
        <v>26</v>
      </c>
      <c r="G122" s="11" t="s">
        <v>27</v>
      </c>
      <c r="H122" s="11">
        <v>0</v>
      </c>
      <c r="I122" s="11">
        <v>0</v>
      </c>
      <c r="J122" s="11">
        <v>27800000</v>
      </c>
      <c r="K122" s="11">
        <v>28500000</v>
      </c>
      <c r="L122" s="11">
        <v>59499500</v>
      </c>
      <c r="M122" s="11">
        <v>58343600</v>
      </c>
      <c r="N122" s="11">
        <v>0</v>
      </c>
    </row>
    <row r="123" spans="1:14" x14ac:dyDescent="0.3">
      <c r="A123" s="10">
        <v>46020</v>
      </c>
      <c r="B123" t="s">
        <v>19</v>
      </c>
      <c r="C123" t="str">
        <f t="shared" si="4"/>
        <v>342856178123</v>
      </c>
      <c r="D123" t="str">
        <f t="shared" si="5"/>
        <v>Client123</v>
      </c>
      <c r="E123" t="str">
        <f t="shared" si="3"/>
        <v>BOB123</v>
      </c>
      <c r="F123" t="s">
        <v>30</v>
      </c>
      <c r="G123" s="11" t="s">
        <v>70</v>
      </c>
      <c r="H123" s="11">
        <v>0</v>
      </c>
      <c r="I123" s="11">
        <v>0</v>
      </c>
      <c r="J123" s="11">
        <v>0</v>
      </c>
      <c r="K123" s="11">
        <v>3009000</v>
      </c>
      <c r="L123" s="11">
        <v>3994800</v>
      </c>
      <c r="M123" s="11">
        <v>6639600</v>
      </c>
      <c r="N123" s="11">
        <v>0</v>
      </c>
    </row>
    <row r="124" spans="1:14" x14ac:dyDescent="0.3">
      <c r="A124" s="10">
        <v>46020</v>
      </c>
      <c r="B124" t="s">
        <v>19</v>
      </c>
      <c r="C124" t="str">
        <f t="shared" si="4"/>
        <v>342856178124</v>
      </c>
      <c r="D124" t="str">
        <f t="shared" si="5"/>
        <v>Client124</v>
      </c>
      <c r="E124" t="str">
        <f t="shared" si="3"/>
        <v>BOB124</v>
      </c>
      <c r="F124" t="s">
        <v>30</v>
      </c>
      <c r="G124" s="11" t="s">
        <v>22</v>
      </c>
      <c r="H124" s="11">
        <v>0</v>
      </c>
      <c r="I124" s="11">
        <v>0</v>
      </c>
      <c r="J124" s="11">
        <v>0</v>
      </c>
      <c r="K124" s="11">
        <v>0</v>
      </c>
      <c r="L124" s="11">
        <v>27379000</v>
      </c>
      <c r="M124" s="11">
        <v>27097000</v>
      </c>
      <c r="N124" s="11">
        <v>0</v>
      </c>
    </row>
    <row r="125" spans="1:14" x14ac:dyDescent="0.3">
      <c r="A125" s="10">
        <v>46020</v>
      </c>
      <c r="B125" t="s">
        <v>19</v>
      </c>
      <c r="C125" t="str">
        <f t="shared" si="4"/>
        <v>342856178125</v>
      </c>
      <c r="D125" t="str">
        <f t="shared" si="5"/>
        <v>Client125</v>
      </c>
      <c r="E125" t="str">
        <f t="shared" si="3"/>
        <v>BOB125</v>
      </c>
      <c r="F125" t="s">
        <v>21</v>
      </c>
      <c r="G125" s="11" t="s">
        <v>22</v>
      </c>
      <c r="H125" s="11">
        <v>0</v>
      </c>
      <c r="I125" s="11">
        <v>0</v>
      </c>
      <c r="J125" s="11">
        <v>0</v>
      </c>
      <c r="K125" s="11">
        <v>2000000</v>
      </c>
      <c r="L125" s="11">
        <v>7739300</v>
      </c>
      <c r="M125" s="11">
        <v>10604500</v>
      </c>
      <c r="N125" s="11">
        <v>0</v>
      </c>
    </row>
    <row r="126" spans="1:14" x14ac:dyDescent="0.3">
      <c r="A126" s="10">
        <v>46020</v>
      </c>
      <c r="B126" t="s">
        <v>19</v>
      </c>
      <c r="C126" t="str">
        <f t="shared" si="4"/>
        <v>342856178126</v>
      </c>
      <c r="D126" t="str">
        <f t="shared" si="5"/>
        <v>Client126</v>
      </c>
      <c r="E126" t="str">
        <f t="shared" si="3"/>
        <v>BOB126</v>
      </c>
      <c r="F126" t="s">
        <v>32</v>
      </c>
      <c r="G126" s="11" t="s">
        <v>22</v>
      </c>
      <c r="H126" s="11">
        <v>0</v>
      </c>
      <c r="I126" s="11">
        <v>0</v>
      </c>
      <c r="J126" s="11">
        <v>0</v>
      </c>
      <c r="K126" s="11">
        <v>0</v>
      </c>
      <c r="L126" s="11">
        <v>44966000</v>
      </c>
      <c r="M126" s="11">
        <v>44926600</v>
      </c>
      <c r="N126" s="11">
        <v>0</v>
      </c>
    </row>
    <row r="127" spans="1:14" x14ac:dyDescent="0.3">
      <c r="A127" s="10">
        <v>46020</v>
      </c>
      <c r="B127" t="s">
        <v>19</v>
      </c>
      <c r="C127" t="str">
        <f t="shared" si="4"/>
        <v>342856178127</v>
      </c>
      <c r="D127" t="str">
        <f t="shared" si="5"/>
        <v>Client127</v>
      </c>
      <c r="E127" t="str">
        <f t="shared" si="3"/>
        <v>BOB127</v>
      </c>
      <c r="F127" t="s">
        <v>24</v>
      </c>
      <c r="G127" s="11" t="s">
        <v>22</v>
      </c>
      <c r="H127" s="11">
        <v>0</v>
      </c>
      <c r="I127" s="11">
        <v>0</v>
      </c>
      <c r="J127" s="11">
        <v>0</v>
      </c>
      <c r="K127" s="11">
        <v>3000000</v>
      </c>
      <c r="L127" s="11">
        <v>16663700</v>
      </c>
      <c r="M127" s="11">
        <v>21726500</v>
      </c>
      <c r="N127" s="11">
        <v>0</v>
      </c>
    </row>
    <row r="128" spans="1:14" x14ac:dyDescent="0.3">
      <c r="A128" s="10">
        <v>46020</v>
      </c>
      <c r="B128" t="s">
        <v>19</v>
      </c>
      <c r="C128" t="str">
        <f t="shared" si="4"/>
        <v>342856178128</v>
      </c>
      <c r="D128" t="str">
        <f t="shared" si="5"/>
        <v>Client128</v>
      </c>
      <c r="E128" t="str">
        <f t="shared" si="3"/>
        <v>BOB128</v>
      </c>
      <c r="G128" s="11"/>
      <c r="H128" s="11">
        <v>0</v>
      </c>
      <c r="I128" s="11">
        <v>0</v>
      </c>
      <c r="J128" s="11">
        <v>0</v>
      </c>
      <c r="K128" s="11">
        <v>0</v>
      </c>
      <c r="L128" s="11">
        <v>16522100</v>
      </c>
      <c r="M128" s="11">
        <v>17581400</v>
      </c>
      <c r="N128" s="11">
        <v>0</v>
      </c>
    </row>
    <row r="129" spans="1:14" x14ac:dyDescent="0.3">
      <c r="A129" s="10">
        <v>46020</v>
      </c>
      <c r="B129" t="s">
        <v>19</v>
      </c>
      <c r="C129" t="str">
        <f t="shared" si="4"/>
        <v>342856178129</v>
      </c>
      <c r="D129" t="str">
        <f t="shared" si="5"/>
        <v>Client129</v>
      </c>
      <c r="E129" t="str">
        <f t="shared" si="3"/>
        <v>BOB129</v>
      </c>
      <c r="F129" t="s">
        <v>21</v>
      </c>
      <c r="G129" s="11" t="s">
        <v>22</v>
      </c>
      <c r="H129" s="11">
        <v>0</v>
      </c>
      <c r="I129" s="11">
        <v>0</v>
      </c>
      <c r="J129" s="11">
        <v>0</v>
      </c>
      <c r="K129" s="11">
        <v>0</v>
      </c>
      <c r="L129" s="11">
        <v>0</v>
      </c>
      <c r="M129" s="11">
        <v>0</v>
      </c>
      <c r="N129" s="11">
        <v>0</v>
      </c>
    </row>
    <row r="130" spans="1:14" x14ac:dyDescent="0.3">
      <c r="A130" s="10">
        <v>46020</v>
      </c>
      <c r="B130" t="s">
        <v>19</v>
      </c>
      <c r="C130" t="str">
        <f t="shared" si="4"/>
        <v>342856178130</v>
      </c>
      <c r="D130" t="str">
        <f t="shared" si="5"/>
        <v>Client130</v>
      </c>
      <c r="E130" t="str">
        <f t="shared" si="3"/>
        <v>BOB130</v>
      </c>
      <c r="F130" t="s">
        <v>26</v>
      </c>
      <c r="G130" s="11" t="s">
        <v>27</v>
      </c>
      <c r="H130" s="11">
        <v>0</v>
      </c>
      <c r="I130" s="11">
        <v>0</v>
      </c>
      <c r="J130" s="11">
        <v>0</v>
      </c>
      <c r="K130" s="11">
        <v>300400</v>
      </c>
      <c r="L130" s="11">
        <v>13944100</v>
      </c>
      <c r="M130" s="11">
        <v>17426400</v>
      </c>
      <c r="N130" s="11">
        <v>0</v>
      </c>
    </row>
    <row r="131" spans="1:14" x14ac:dyDescent="0.3">
      <c r="A131" s="10">
        <v>46020</v>
      </c>
      <c r="B131" t="s">
        <v>19</v>
      </c>
      <c r="C131" t="str">
        <f t="shared" si="4"/>
        <v>342856178131</v>
      </c>
      <c r="D131" t="str">
        <f t="shared" si="5"/>
        <v>Client131</v>
      </c>
      <c r="E131" t="str">
        <f t="shared" ref="E131:E194" si="6">"BOB"&amp;ROW()</f>
        <v>BOB131</v>
      </c>
      <c r="F131" t="s">
        <v>21</v>
      </c>
      <c r="G131" s="11" t="s">
        <v>22</v>
      </c>
      <c r="H131" s="11">
        <v>0</v>
      </c>
      <c r="I131" s="11">
        <v>0</v>
      </c>
      <c r="J131" s="11">
        <v>0</v>
      </c>
      <c r="K131" s="11">
        <v>0</v>
      </c>
      <c r="L131" s="11">
        <v>13833200</v>
      </c>
      <c r="M131" s="11">
        <v>17596500</v>
      </c>
      <c r="N131" s="11">
        <v>0</v>
      </c>
    </row>
    <row r="132" spans="1:14" x14ac:dyDescent="0.3">
      <c r="A132" s="10">
        <v>46020</v>
      </c>
      <c r="B132" t="s">
        <v>19</v>
      </c>
      <c r="C132" t="str">
        <f t="shared" ref="C132:C195" si="7" xml:space="preserve"> "342856178" &amp; ROW()</f>
        <v>342856178132</v>
      </c>
      <c r="D132" t="str">
        <f t="shared" ref="D132:D195" si="8">"Client"  &amp; ROW()</f>
        <v>Client132</v>
      </c>
      <c r="E132" t="str">
        <f t="shared" si="6"/>
        <v>BOB132</v>
      </c>
      <c r="G132" s="11"/>
      <c r="H132" s="11">
        <v>0</v>
      </c>
      <c r="I132" s="11">
        <v>0</v>
      </c>
      <c r="J132" s="11">
        <v>0</v>
      </c>
      <c r="K132" s="11">
        <v>0</v>
      </c>
      <c r="L132" s="11">
        <v>2756100</v>
      </c>
      <c r="M132" s="11">
        <v>2932400</v>
      </c>
      <c r="N132" s="11">
        <v>0</v>
      </c>
    </row>
    <row r="133" spans="1:14" x14ac:dyDescent="0.3">
      <c r="A133" s="10">
        <v>46020</v>
      </c>
      <c r="B133" t="s">
        <v>19</v>
      </c>
      <c r="C133" t="str">
        <f t="shared" si="7"/>
        <v>342856178133</v>
      </c>
      <c r="D133" t="str">
        <f t="shared" si="8"/>
        <v>Client133</v>
      </c>
      <c r="E133" t="str">
        <f t="shared" si="6"/>
        <v>BOB133</v>
      </c>
      <c r="F133" t="s">
        <v>21</v>
      </c>
      <c r="G133" s="11" t="s">
        <v>22</v>
      </c>
      <c r="H133" s="11">
        <v>0</v>
      </c>
      <c r="I133" s="11">
        <v>0</v>
      </c>
      <c r="J133" s="11">
        <v>0</v>
      </c>
      <c r="K133" s="11">
        <v>2930000</v>
      </c>
      <c r="L133" s="11">
        <v>10524300</v>
      </c>
      <c r="M133" s="11">
        <v>14314500</v>
      </c>
      <c r="N133" s="11">
        <v>0</v>
      </c>
    </row>
    <row r="134" spans="1:14" x14ac:dyDescent="0.3">
      <c r="A134" s="10">
        <v>46020</v>
      </c>
      <c r="B134" t="s">
        <v>19</v>
      </c>
      <c r="C134" t="str">
        <f t="shared" si="7"/>
        <v>342856178134</v>
      </c>
      <c r="D134" t="str">
        <f t="shared" si="8"/>
        <v>Client134</v>
      </c>
      <c r="E134" t="str">
        <f t="shared" si="6"/>
        <v>BOB134</v>
      </c>
      <c r="F134" t="s">
        <v>32</v>
      </c>
      <c r="G134" s="11" t="s">
        <v>22</v>
      </c>
      <c r="H134" s="11">
        <v>0</v>
      </c>
      <c r="I134" s="11">
        <v>0</v>
      </c>
      <c r="J134" s="11">
        <v>6167000</v>
      </c>
      <c r="K134" s="11">
        <v>13833600</v>
      </c>
      <c r="L134" s="11">
        <v>27921400</v>
      </c>
      <c r="M134" s="11">
        <v>35084100</v>
      </c>
      <c r="N134" s="11">
        <v>0</v>
      </c>
    </row>
    <row r="135" spans="1:14" x14ac:dyDescent="0.3">
      <c r="A135" s="10">
        <v>46020</v>
      </c>
      <c r="B135" t="s">
        <v>19</v>
      </c>
      <c r="C135" t="str">
        <f t="shared" si="7"/>
        <v>342856178135</v>
      </c>
      <c r="D135" t="str">
        <f t="shared" si="8"/>
        <v>Client135</v>
      </c>
      <c r="E135" t="str">
        <f t="shared" si="6"/>
        <v>BOB135</v>
      </c>
      <c r="F135" t="s">
        <v>21</v>
      </c>
      <c r="G135" s="11" t="s">
        <v>22</v>
      </c>
      <c r="H135" s="11">
        <v>0</v>
      </c>
      <c r="I135" s="11">
        <v>0</v>
      </c>
      <c r="J135" s="11">
        <v>1500000</v>
      </c>
      <c r="K135" s="11">
        <v>2704000</v>
      </c>
      <c r="L135" s="11">
        <v>8311400</v>
      </c>
      <c r="M135" s="11">
        <v>10582900</v>
      </c>
      <c r="N135" s="11">
        <v>0</v>
      </c>
    </row>
    <row r="136" spans="1:14" x14ac:dyDescent="0.3">
      <c r="A136" s="10">
        <v>46020</v>
      </c>
      <c r="B136" t="s">
        <v>19</v>
      </c>
      <c r="C136" t="str">
        <f t="shared" si="7"/>
        <v>342856178136</v>
      </c>
      <c r="D136" t="str">
        <f t="shared" si="8"/>
        <v>Client136</v>
      </c>
      <c r="E136" t="str">
        <f t="shared" si="6"/>
        <v>BOB136</v>
      </c>
      <c r="F136" t="s">
        <v>32</v>
      </c>
      <c r="G136" s="11" t="s">
        <v>22</v>
      </c>
      <c r="H136" s="11">
        <v>0</v>
      </c>
      <c r="I136" s="11">
        <v>0</v>
      </c>
      <c r="J136" s="11">
        <v>0</v>
      </c>
      <c r="K136" s="11">
        <v>0</v>
      </c>
      <c r="L136" s="11">
        <v>5416400</v>
      </c>
      <c r="M136" s="11">
        <v>5786800</v>
      </c>
      <c r="N136" s="11">
        <v>0</v>
      </c>
    </row>
    <row r="137" spans="1:14" x14ac:dyDescent="0.3">
      <c r="A137" s="10">
        <v>46020</v>
      </c>
      <c r="B137" t="s">
        <v>19</v>
      </c>
      <c r="C137" t="str">
        <f t="shared" si="7"/>
        <v>342856178137</v>
      </c>
      <c r="D137" t="str">
        <f t="shared" si="8"/>
        <v>Client137</v>
      </c>
      <c r="E137" t="str">
        <f t="shared" si="6"/>
        <v>BOB137</v>
      </c>
      <c r="G137" s="11"/>
      <c r="H137" s="11">
        <v>0</v>
      </c>
      <c r="I137" s="11">
        <v>0</v>
      </c>
      <c r="J137" s="11">
        <v>0</v>
      </c>
      <c r="K137" s="11">
        <v>0</v>
      </c>
      <c r="L137" s="11">
        <v>0</v>
      </c>
      <c r="M137" s="11">
        <v>0</v>
      </c>
      <c r="N137" s="11">
        <v>0</v>
      </c>
    </row>
    <row r="138" spans="1:14" x14ac:dyDescent="0.3">
      <c r="A138" s="10">
        <v>46020</v>
      </c>
      <c r="B138" t="s">
        <v>19</v>
      </c>
      <c r="C138" t="str">
        <f t="shared" si="7"/>
        <v>342856178138</v>
      </c>
      <c r="D138" t="str">
        <f t="shared" si="8"/>
        <v>Client138</v>
      </c>
      <c r="E138" t="str">
        <f t="shared" si="6"/>
        <v>BOB138</v>
      </c>
      <c r="F138" t="s">
        <v>21</v>
      </c>
      <c r="G138" s="11" t="s">
        <v>22</v>
      </c>
      <c r="H138" s="11">
        <v>0</v>
      </c>
      <c r="I138" s="11">
        <v>0</v>
      </c>
      <c r="J138" s="11">
        <v>0</v>
      </c>
      <c r="K138" s="11">
        <v>3655400</v>
      </c>
      <c r="L138" s="11">
        <v>29964100</v>
      </c>
      <c r="M138" s="11">
        <v>34531500</v>
      </c>
      <c r="N138" s="11">
        <v>0</v>
      </c>
    </row>
    <row r="139" spans="1:14" x14ac:dyDescent="0.3">
      <c r="A139" s="10">
        <v>46020</v>
      </c>
      <c r="B139" t="s">
        <v>19</v>
      </c>
      <c r="C139" t="str">
        <f t="shared" si="7"/>
        <v>342856178139</v>
      </c>
      <c r="D139" t="str">
        <f t="shared" si="8"/>
        <v>Client139</v>
      </c>
      <c r="E139" t="str">
        <f t="shared" si="6"/>
        <v>BOB139</v>
      </c>
      <c r="F139" t="s">
        <v>30</v>
      </c>
      <c r="G139" s="11" t="s">
        <v>83</v>
      </c>
      <c r="H139" s="11">
        <v>0</v>
      </c>
      <c r="I139" s="11">
        <v>0</v>
      </c>
      <c r="J139" s="11">
        <v>0</v>
      </c>
      <c r="K139" s="11">
        <v>3000000</v>
      </c>
      <c r="L139" s="11">
        <v>17676900</v>
      </c>
      <c r="M139" s="11">
        <v>19777600</v>
      </c>
      <c r="N139" s="11">
        <v>0</v>
      </c>
    </row>
    <row r="140" spans="1:14" x14ac:dyDescent="0.3">
      <c r="A140" s="10">
        <v>46020</v>
      </c>
      <c r="B140" t="s">
        <v>19</v>
      </c>
      <c r="C140" t="str">
        <f t="shared" si="7"/>
        <v>342856178140</v>
      </c>
      <c r="D140" t="str">
        <f t="shared" si="8"/>
        <v>Client140</v>
      </c>
      <c r="E140" t="str">
        <f t="shared" si="6"/>
        <v>BOB140</v>
      </c>
      <c r="G140" s="11"/>
      <c r="H140" s="11">
        <v>0</v>
      </c>
      <c r="I140" s="11">
        <v>0</v>
      </c>
      <c r="J140" s="11">
        <v>0</v>
      </c>
      <c r="K140" s="11">
        <v>0</v>
      </c>
      <c r="L140" s="11">
        <v>8230700</v>
      </c>
      <c r="M140" s="11">
        <v>8519000</v>
      </c>
      <c r="N140" s="11">
        <v>0</v>
      </c>
    </row>
    <row r="141" spans="1:14" x14ac:dyDescent="0.3">
      <c r="A141" s="10">
        <v>46020</v>
      </c>
      <c r="B141" t="s">
        <v>19</v>
      </c>
      <c r="C141" t="str">
        <f t="shared" si="7"/>
        <v>342856178141</v>
      </c>
      <c r="D141" t="str">
        <f t="shared" si="8"/>
        <v>Client141</v>
      </c>
      <c r="E141" t="str">
        <f t="shared" si="6"/>
        <v>BOB141</v>
      </c>
      <c r="F141" t="s">
        <v>21</v>
      </c>
      <c r="G141" s="11" t="s">
        <v>22</v>
      </c>
      <c r="H141" s="11">
        <v>0</v>
      </c>
      <c r="I141" s="11">
        <v>0</v>
      </c>
      <c r="J141" s="11">
        <v>0</v>
      </c>
      <c r="K141" s="11">
        <v>1453000</v>
      </c>
      <c r="L141" s="11">
        <v>18252500</v>
      </c>
      <c r="M141" s="11">
        <v>19503700</v>
      </c>
      <c r="N141" s="11">
        <v>0</v>
      </c>
    </row>
    <row r="142" spans="1:14" x14ac:dyDescent="0.3">
      <c r="A142" s="10">
        <v>46020</v>
      </c>
      <c r="B142" t="s">
        <v>19</v>
      </c>
      <c r="C142" t="str">
        <f t="shared" si="7"/>
        <v>342856178142</v>
      </c>
      <c r="D142" t="str">
        <f t="shared" si="8"/>
        <v>Client142</v>
      </c>
      <c r="E142" t="str">
        <f t="shared" si="6"/>
        <v>BOB142</v>
      </c>
      <c r="F142" t="s">
        <v>32</v>
      </c>
      <c r="G142" s="11" t="s">
        <v>22</v>
      </c>
      <c r="H142" s="11">
        <v>0</v>
      </c>
      <c r="I142" s="11">
        <v>0</v>
      </c>
      <c r="J142" s="11">
        <v>0</v>
      </c>
      <c r="K142" s="11">
        <v>0</v>
      </c>
      <c r="L142" s="11">
        <v>9029600</v>
      </c>
      <c r="M142" s="11">
        <v>8950200</v>
      </c>
      <c r="N142" s="11">
        <v>0</v>
      </c>
    </row>
    <row r="143" spans="1:14" x14ac:dyDescent="0.3">
      <c r="A143" s="10">
        <v>46020</v>
      </c>
      <c r="B143" t="s">
        <v>19</v>
      </c>
      <c r="C143" t="str">
        <f t="shared" si="7"/>
        <v>342856178143</v>
      </c>
      <c r="D143" t="str">
        <f t="shared" si="8"/>
        <v>Client143</v>
      </c>
      <c r="E143" t="str">
        <f t="shared" si="6"/>
        <v>BOB143</v>
      </c>
      <c r="F143" t="s">
        <v>32</v>
      </c>
      <c r="G143" s="11" t="s">
        <v>22</v>
      </c>
      <c r="H143" s="11">
        <v>0</v>
      </c>
      <c r="I143" s="11">
        <v>0</v>
      </c>
      <c r="J143" s="11">
        <v>9400000</v>
      </c>
      <c r="K143" s="11">
        <v>1920000</v>
      </c>
      <c r="L143" s="11">
        <v>18147400</v>
      </c>
      <c r="M143" s="11">
        <v>10740500</v>
      </c>
      <c r="N143" s="11">
        <v>0</v>
      </c>
    </row>
    <row r="144" spans="1:14" x14ac:dyDescent="0.3">
      <c r="A144" s="10">
        <v>46020</v>
      </c>
      <c r="B144" t="s">
        <v>19</v>
      </c>
      <c r="C144" t="str">
        <f t="shared" si="7"/>
        <v>342856178144</v>
      </c>
      <c r="D144" t="str">
        <f t="shared" si="8"/>
        <v>Client144</v>
      </c>
      <c r="E144" t="str">
        <f t="shared" si="6"/>
        <v>BOB144</v>
      </c>
      <c r="F144" t="s">
        <v>68</v>
      </c>
      <c r="G144" s="11" t="s">
        <v>22</v>
      </c>
      <c r="H144" s="11">
        <v>3000000</v>
      </c>
      <c r="I144" s="11">
        <v>2984000</v>
      </c>
      <c r="J144" s="11">
        <v>12000000</v>
      </c>
      <c r="K144" s="11">
        <v>9901600</v>
      </c>
      <c r="L144" s="11">
        <v>5847700</v>
      </c>
      <c r="M144" s="11">
        <v>3922000</v>
      </c>
      <c r="N144" s="11">
        <v>0</v>
      </c>
    </row>
    <row r="145" spans="1:14" x14ac:dyDescent="0.3">
      <c r="A145" s="10">
        <v>46020</v>
      </c>
      <c r="B145" t="s">
        <v>19</v>
      </c>
      <c r="C145" t="str">
        <f t="shared" si="7"/>
        <v>342856178145</v>
      </c>
      <c r="D145" t="str">
        <f t="shared" si="8"/>
        <v>Client145</v>
      </c>
      <c r="E145" t="str">
        <f t="shared" si="6"/>
        <v>BOB145</v>
      </c>
      <c r="F145" t="s">
        <v>32</v>
      </c>
      <c r="G145" s="11" t="s">
        <v>22</v>
      </c>
      <c r="H145" s="11">
        <v>0</v>
      </c>
      <c r="I145" s="11">
        <v>0</v>
      </c>
      <c r="J145" s="11">
        <v>0</v>
      </c>
      <c r="K145" s="11">
        <v>0</v>
      </c>
      <c r="L145" s="11">
        <v>8271500</v>
      </c>
      <c r="M145" s="11">
        <v>9289400</v>
      </c>
      <c r="N145" s="11">
        <v>0</v>
      </c>
    </row>
    <row r="146" spans="1:14" x14ac:dyDescent="0.3">
      <c r="A146" s="10">
        <v>46020</v>
      </c>
      <c r="B146" t="s">
        <v>19</v>
      </c>
      <c r="C146" t="str">
        <f t="shared" si="7"/>
        <v>342856178146</v>
      </c>
      <c r="D146" t="str">
        <f t="shared" si="8"/>
        <v>Client146</v>
      </c>
      <c r="E146" t="str">
        <f t="shared" si="6"/>
        <v>BOB146</v>
      </c>
      <c r="F146" t="s">
        <v>32</v>
      </c>
      <c r="G146" s="11" t="s">
        <v>22</v>
      </c>
      <c r="H146" s="11">
        <v>0</v>
      </c>
      <c r="I146" s="11">
        <v>0</v>
      </c>
      <c r="J146" s="11">
        <v>1000000</v>
      </c>
      <c r="K146" s="11">
        <v>1000000</v>
      </c>
      <c r="L146" s="11">
        <v>12974900</v>
      </c>
      <c r="M146" s="11">
        <v>12381800</v>
      </c>
      <c r="N146" s="11">
        <v>0</v>
      </c>
    </row>
    <row r="147" spans="1:14" x14ac:dyDescent="0.3">
      <c r="A147" s="10">
        <v>46020</v>
      </c>
      <c r="B147" t="s">
        <v>19</v>
      </c>
      <c r="C147" t="str">
        <f t="shared" si="7"/>
        <v>342856178147</v>
      </c>
      <c r="D147" t="str">
        <f t="shared" si="8"/>
        <v>Client147</v>
      </c>
      <c r="E147" t="str">
        <f t="shared" si="6"/>
        <v>BOB147</v>
      </c>
      <c r="F147" t="s">
        <v>32</v>
      </c>
      <c r="G147" s="11" t="s">
        <v>22</v>
      </c>
      <c r="H147" s="11">
        <v>0</v>
      </c>
      <c r="I147" s="11">
        <v>1803000</v>
      </c>
      <c r="J147" s="11">
        <v>0</v>
      </c>
      <c r="K147" s="11">
        <v>0</v>
      </c>
      <c r="L147" s="11">
        <v>10117300</v>
      </c>
      <c r="M147" s="11">
        <v>13608300</v>
      </c>
      <c r="N147" s="11">
        <v>0</v>
      </c>
    </row>
    <row r="148" spans="1:14" x14ac:dyDescent="0.3">
      <c r="A148" s="10">
        <v>46020</v>
      </c>
      <c r="B148" t="s">
        <v>19</v>
      </c>
      <c r="C148" t="str">
        <f t="shared" si="7"/>
        <v>342856178148</v>
      </c>
      <c r="D148" t="str">
        <f t="shared" si="8"/>
        <v>Client148</v>
      </c>
      <c r="E148" t="str">
        <f t="shared" si="6"/>
        <v>BOB148</v>
      </c>
      <c r="F148" t="s">
        <v>24</v>
      </c>
      <c r="G148" s="11" t="s">
        <v>22</v>
      </c>
      <c r="H148" s="11">
        <v>0</v>
      </c>
      <c r="I148" s="11">
        <v>0</v>
      </c>
      <c r="J148" s="11">
        <v>0</v>
      </c>
      <c r="K148" s="11">
        <v>1000000</v>
      </c>
      <c r="L148" s="11">
        <v>1883300</v>
      </c>
      <c r="M148" s="11">
        <v>2432100</v>
      </c>
      <c r="N148" s="11">
        <v>0</v>
      </c>
    </row>
    <row r="149" spans="1:14" x14ac:dyDescent="0.3">
      <c r="A149" s="10">
        <v>46020</v>
      </c>
      <c r="B149" t="s">
        <v>19</v>
      </c>
      <c r="C149" t="str">
        <f t="shared" si="7"/>
        <v>342856178149</v>
      </c>
      <c r="D149" t="str">
        <f t="shared" si="8"/>
        <v>Client149</v>
      </c>
      <c r="E149" t="str">
        <f t="shared" si="6"/>
        <v>BOB149</v>
      </c>
      <c r="F149" t="s">
        <v>26</v>
      </c>
      <c r="G149" s="11" t="s">
        <v>27</v>
      </c>
      <c r="H149" s="11">
        <v>60000000</v>
      </c>
      <c r="I149" s="11">
        <v>42000000</v>
      </c>
      <c r="J149" s="11">
        <v>76129800</v>
      </c>
      <c r="K149" s="11">
        <v>25658300</v>
      </c>
      <c r="L149" s="11">
        <v>283232500</v>
      </c>
      <c r="M149" s="11">
        <v>326047200</v>
      </c>
      <c r="N149" s="11">
        <v>0</v>
      </c>
    </row>
    <row r="150" spans="1:14" x14ac:dyDescent="0.3">
      <c r="A150" s="10">
        <v>46020</v>
      </c>
      <c r="B150" t="s">
        <v>19</v>
      </c>
      <c r="C150" t="str">
        <f t="shared" si="7"/>
        <v>342856178150</v>
      </c>
      <c r="D150" t="str">
        <f t="shared" si="8"/>
        <v>Client150</v>
      </c>
      <c r="E150" t="str">
        <f t="shared" si="6"/>
        <v>BOB150</v>
      </c>
      <c r="F150" t="s">
        <v>21</v>
      </c>
      <c r="G150" s="11" t="s">
        <v>22</v>
      </c>
      <c r="H150" s="11">
        <v>0</v>
      </c>
      <c r="I150" s="11">
        <v>0</v>
      </c>
      <c r="J150" s="11">
        <v>0</v>
      </c>
      <c r="K150" s="11">
        <v>200000</v>
      </c>
      <c r="L150" s="11">
        <v>2731200</v>
      </c>
      <c r="M150" s="11">
        <v>3469200</v>
      </c>
      <c r="N150" s="11">
        <v>0</v>
      </c>
    </row>
    <row r="151" spans="1:14" x14ac:dyDescent="0.3">
      <c r="A151" s="10">
        <v>46020</v>
      </c>
      <c r="B151" t="s">
        <v>19</v>
      </c>
      <c r="C151" t="str">
        <f t="shared" si="7"/>
        <v>342856178151</v>
      </c>
      <c r="D151" t="str">
        <f t="shared" si="8"/>
        <v>Client151</v>
      </c>
      <c r="E151" t="str">
        <f t="shared" si="6"/>
        <v>BOB151</v>
      </c>
      <c r="F151" t="s">
        <v>24</v>
      </c>
      <c r="G151" s="11" t="s">
        <v>22</v>
      </c>
      <c r="H151" s="11">
        <v>0</v>
      </c>
      <c r="I151" s="11">
        <v>0</v>
      </c>
      <c r="J151" s="11">
        <v>160000000</v>
      </c>
      <c r="K151" s="11">
        <v>10000000</v>
      </c>
      <c r="L151" s="11">
        <v>150180000</v>
      </c>
      <c r="M151" s="11">
        <v>0</v>
      </c>
      <c r="N151" s="11">
        <v>0</v>
      </c>
    </row>
    <row r="152" spans="1:14" x14ac:dyDescent="0.3">
      <c r="A152" s="10">
        <v>46020</v>
      </c>
      <c r="B152" t="s">
        <v>19</v>
      </c>
      <c r="C152" t="str">
        <f t="shared" si="7"/>
        <v>342856178152</v>
      </c>
      <c r="D152" t="str">
        <f t="shared" si="8"/>
        <v>Client152</v>
      </c>
      <c r="E152" t="str">
        <f t="shared" si="6"/>
        <v>BOB152</v>
      </c>
      <c r="F152" t="s">
        <v>26</v>
      </c>
      <c r="G152" s="11" t="s">
        <v>27</v>
      </c>
      <c r="H152" s="11">
        <v>0</v>
      </c>
      <c r="I152" s="11">
        <v>0</v>
      </c>
      <c r="J152" s="11">
        <v>1498500</v>
      </c>
      <c r="K152" s="11">
        <v>0</v>
      </c>
      <c r="L152" s="11">
        <v>10923400</v>
      </c>
      <c r="M152" s="11">
        <v>6919900</v>
      </c>
      <c r="N152" s="11">
        <v>0</v>
      </c>
    </row>
    <row r="153" spans="1:14" x14ac:dyDescent="0.3">
      <c r="A153" s="10">
        <v>46020</v>
      </c>
      <c r="B153" t="s">
        <v>19</v>
      </c>
      <c r="C153" t="str">
        <f t="shared" si="7"/>
        <v>342856178153</v>
      </c>
      <c r="D153" t="str">
        <f t="shared" si="8"/>
        <v>Client153</v>
      </c>
      <c r="E153" t="str">
        <f t="shared" si="6"/>
        <v>BOB153</v>
      </c>
      <c r="F153" t="s">
        <v>21</v>
      </c>
      <c r="G153" s="11" t="s">
        <v>22</v>
      </c>
      <c r="H153" s="11">
        <v>0</v>
      </c>
      <c r="I153" s="11">
        <v>0</v>
      </c>
      <c r="J153" s="11">
        <v>0</v>
      </c>
      <c r="K153" s="11">
        <v>0</v>
      </c>
      <c r="L153" s="11">
        <v>0</v>
      </c>
      <c r="M153" s="11">
        <v>0</v>
      </c>
      <c r="N153" s="11">
        <v>0</v>
      </c>
    </row>
    <row r="154" spans="1:14" x14ac:dyDescent="0.3">
      <c r="A154" s="10">
        <v>46020</v>
      </c>
      <c r="B154" t="s">
        <v>19</v>
      </c>
      <c r="C154" t="str">
        <f t="shared" si="7"/>
        <v>342856178154</v>
      </c>
      <c r="D154" t="str">
        <f t="shared" si="8"/>
        <v>Client154</v>
      </c>
      <c r="E154" t="str">
        <f t="shared" si="6"/>
        <v>BOB154</v>
      </c>
      <c r="F154" t="s">
        <v>73</v>
      </c>
      <c r="G154" s="11" t="s">
        <v>77</v>
      </c>
      <c r="H154" s="11">
        <v>0</v>
      </c>
      <c r="I154" s="11">
        <v>0</v>
      </c>
      <c r="J154" s="11">
        <v>8000000</v>
      </c>
      <c r="K154" s="11">
        <v>0</v>
      </c>
      <c r="L154" s="11">
        <v>13844000</v>
      </c>
      <c r="M154" s="11">
        <v>9481500</v>
      </c>
      <c r="N154" s="11">
        <v>0</v>
      </c>
    </row>
    <row r="155" spans="1:14" x14ac:dyDescent="0.3">
      <c r="A155" s="10">
        <v>46020</v>
      </c>
      <c r="B155" t="s">
        <v>19</v>
      </c>
      <c r="C155" t="str">
        <f t="shared" si="7"/>
        <v>342856178155</v>
      </c>
      <c r="D155" t="str">
        <f t="shared" si="8"/>
        <v>Client155</v>
      </c>
      <c r="E155" t="str">
        <f t="shared" si="6"/>
        <v>BOB155</v>
      </c>
      <c r="F155" t="s">
        <v>32</v>
      </c>
      <c r="G155" s="11" t="s">
        <v>22</v>
      </c>
      <c r="H155" s="11">
        <v>0</v>
      </c>
      <c r="I155" s="11">
        <v>0</v>
      </c>
      <c r="J155" s="11">
        <v>10680000</v>
      </c>
      <c r="K155" s="11">
        <v>6810000</v>
      </c>
      <c r="L155" s="11">
        <v>26689700</v>
      </c>
      <c r="M155" s="11">
        <v>22899400</v>
      </c>
      <c r="N155" s="11">
        <v>0</v>
      </c>
    </row>
    <row r="156" spans="1:14" x14ac:dyDescent="0.3">
      <c r="A156" s="10">
        <v>46020</v>
      </c>
      <c r="B156" t="s">
        <v>19</v>
      </c>
      <c r="C156" t="str">
        <f t="shared" si="7"/>
        <v>342856178156</v>
      </c>
      <c r="D156" t="str">
        <f t="shared" si="8"/>
        <v>Client156</v>
      </c>
      <c r="E156" t="str">
        <f t="shared" si="6"/>
        <v>BOB156</v>
      </c>
      <c r="F156" t="s">
        <v>21</v>
      </c>
      <c r="G156" s="11" t="s">
        <v>22</v>
      </c>
      <c r="H156" s="11">
        <v>0</v>
      </c>
      <c r="I156" s="11">
        <v>0</v>
      </c>
      <c r="J156" s="11">
        <v>0</v>
      </c>
      <c r="K156" s="11">
        <v>0</v>
      </c>
      <c r="L156" s="11">
        <v>375000</v>
      </c>
      <c r="M156" s="11">
        <v>234000</v>
      </c>
      <c r="N156" s="11">
        <v>0</v>
      </c>
    </row>
    <row r="157" spans="1:14" x14ac:dyDescent="0.3">
      <c r="A157" s="10">
        <v>46020</v>
      </c>
      <c r="B157" t="s">
        <v>19</v>
      </c>
      <c r="C157" t="str">
        <f t="shared" si="7"/>
        <v>342856178157</v>
      </c>
      <c r="D157" t="str">
        <f t="shared" si="8"/>
        <v>Client157</v>
      </c>
      <c r="E157" t="str">
        <f t="shared" si="6"/>
        <v>BOB157</v>
      </c>
      <c r="F157" t="s">
        <v>26</v>
      </c>
      <c r="G157" s="11" t="s">
        <v>27</v>
      </c>
      <c r="H157" s="11">
        <v>0</v>
      </c>
      <c r="I157" s="11">
        <v>0</v>
      </c>
      <c r="J157" s="11">
        <v>0</v>
      </c>
      <c r="K157" s="11">
        <v>0</v>
      </c>
      <c r="L157" s="11">
        <v>10964300</v>
      </c>
      <c r="M157" s="11">
        <v>11409300</v>
      </c>
      <c r="N157" s="11">
        <v>0</v>
      </c>
    </row>
    <row r="158" spans="1:14" x14ac:dyDescent="0.3">
      <c r="A158" s="10">
        <v>46020</v>
      </c>
      <c r="B158" t="s">
        <v>19</v>
      </c>
      <c r="C158" t="str">
        <f t="shared" si="7"/>
        <v>342856178158</v>
      </c>
      <c r="D158" t="str">
        <f t="shared" si="8"/>
        <v>Client158</v>
      </c>
      <c r="E158" t="str">
        <f t="shared" si="6"/>
        <v>BOB158</v>
      </c>
      <c r="F158" t="s">
        <v>26</v>
      </c>
      <c r="G158" s="11" t="s">
        <v>72</v>
      </c>
      <c r="H158" s="11">
        <v>0</v>
      </c>
      <c r="I158" s="11">
        <v>0</v>
      </c>
      <c r="J158" s="11">
        <v>0</v>
      </c>
      <c r="K158" s="11">
        <v>0</v>
      </c>
      <c r="L158" s="11">
        <v>16117100</v>
      </c>
      <c r="M158" s="11">
        <v>19460800</v>
      </c>
      <c r="N158" s="11">
        <v>0</v>
      </c>
    </row>
    <row r="159" spans="1:14" x14ac:dyDescent="0.3">
      <c r="A159" s="10">
        <v>46020</v>
      </c>
      <c r="B159" t="s">
        <v>19</v>
      </c>
      <c r="C159" t="str">
        <f t="shared" si="7"/>
        <v>342856178159</v>
      </c>
      <c r="D159" t="str">
        <f t="shared" si="8"/>
        <v>Client159</v>
      </c>
      <c r="E159" t="str">
        <f t="shared" si="6"/>
        <v>BOB159</v>
      </c>
      <c r="F159" t="s">
        <v>32</v>
      </c>
      <c r="G159" s="11" t="s">
        <v>22</v>
      </c>
      <c r="H159" s="11">
        <v>0</v>
      </c>
      <c r="I159" s="11">
        <v>0</v>
      </c>
      <c r="J159" s="11">
        <v>0</v>
      </c>
      <c r="K159" s="11">
        <v>0</v>
      </c>
      <c r="L159" s="11">
        <v>17773900</v>
      </c>
      <c r="M159" s="11">
        <v>25327400</v>
      </c>
      <c r="N159" s="11">
        <v>0</v>
      </c>
    </row>
    <row r="160" spans="1:14" x14ac:dyDescent="0.3">
      <c r="A160" s="10">
        <v>46020</v>
      </c>
      <c r="B160" t="s">
        <v>19</v>
      </c>
      <c r="C160" t="str">
        <f t="shared" si="7"/>
        <v>342856178160</v>
      </c>
      <c r="D160" t="str">
        <f t="shared" si="8"/>
        <v>Client160</v>
      </c>
      <c r="E160" t="str">
        <f t="shared" si="6"/>
        <v>BOB160</v>
      </c>
      <c r="F160" t="s">
        <v>24</v>
      </c>
      <c r="G160" s="11" t="s">
        <v>22</v>
      </c>
      <c r="H160" s="11">
        <v>0</v>
      </c>
      <c r="I160" s="11">
        <v>0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</row>
    <row r="161" spans="1:14" x14ac:dyDescent="0.3">
      <c r="A161" s="10">
        <v>46020</v>
      </c>
      <c r="B161" t="s">
        <v>19</v>
      </c>
      <c r="C161" t="str">
        <f t="shared" si="7"/>
        <v>342856178161</v>
      </c>
      <c r="D161" t="str">
        <f t="shared" si="8"/>
        <v>Client161</v>
      </c>
      <c r="E161" t="str">
        <f t="shared" si="6"/>
        <v>BOB161</v>
      </c>
      <c r="F161" t="s">
        <v>32</v>
      </c>
      <c r="G161" s="11" t="s">
        <v>22</v>
      </c>
      <c r="H161" s="11">
        <v>0</v>
      </c>
      <c r="I161" s="11">
        <v>0</v>
      </c>
      <c r="J161" s="11">
        <v>0</v>
      </c>
      <c r="K161" s="11">
        <v>0</v>
      </c>
      <c r="L161" s="11">
        <v>14415100</v>
      </c>
      <c r="M161" s="11">
        <v>15170000</v>
      </c>
      <c r="N161" s="11">
        <v>0</v>
      </c>
    </row>
    <row r="162" spans="1:14" x14ac:dyDescent="0.3">
      <c r="A162" s="10">
        <v>46020</v>
      </c>
      <c r="B162" t="s">
        <v>19</v>
      </c>
      <c r="C162" t="str">
        <f t="shared" si="7"/>
        <v>342856178162</v>
      </c>
      <c r="D162" t="str">
        <f t="shared" si="8"/>
        <v>Client162</v>
      </c>
      <c r="E162" t="str">
        <f t="shared" si="6"/>
        <v>BOB162</v>
      </c>
      <c r="F162" t="s">
        <v>32</v>
      </c>
      <c r="G162" s="11" t="s">
        <v>22</v>
      </c>
      <c r="H162" s="11">
        <v>0</v>
      </c>
      <c r="I162" s="11">
        <v>0</v>
      </c>
      <c r="J162" s="11">
        <v>0</v>
      </c>
      <c r="K162" s="11">
        <v>0</v>
      </c>
      <c r="L162" s="11">
        <v>2972400</v>
      </c>
      <c r="M162" s="11">
        <v>3060800</v>
      </c>
      <c r="N162" s="11">
        <v>0</v>
      </c>
    </row>
    <row r="163" spans="1:14" x14ac:dyDescent="0.3">
      <c r="A163" s="10">
        <v>46020</v>
      </c>
      <c r="B163" t="s">
        <v>19</v>
      </c>
      <c r="C163" t="str">
        <f t="shared" si="7"/>
        <v>342856178163</v>
      </c>
      <c r="D163" t="str">
        <f t="shared" si="8"/>
        <v>Client163</v>
      </c>
      <c r="E163" t="str">
        <f t="shared" si="6"/>
        <v>BOB163</v>
      </c>
      <c r="F163" t="s">
        <v>68</v>
      </c>
      <c r="G163" s="11" t="s">
        <v>22</v>
      </c>
      <c r="H163" s="11">
        <v>0</v>
      </c>
      <c r="I163" s="11">
        <v>0</v>
      </c>
      <c r="J163" s="11">
        <v>0</v>
      </c>
      <c r="K163" s="11">
        <v>970000</v>
      </c>
      <c r="L163" s="11">
        <v>191000</v>
      </c>
      <c r="M163" s="11">
        <v>2001000</v>
      </c>
      <c r="N163" s="11">
        <v>0</v>
      </c>
    </row>
    <row r="164" spans="1:14" x14ac:dyDescent="0.3">
      <c r="A164" s="10">
        <v>46020</v>
      </c>
      <c r="B164" t="s">
        <v>19</v>
      </c>
      <c r="C164" t="str">
        <f t="shared" si="7"/>
        <v>342856178164</v>
      </c>
      <c r="D164" t="str">
        <f t="shared" si="8"/>
        <v>Client164</v>
      </c>
      <c r="E164" t="str">
        <f t="shared" si="6"/>
        <v>BOB164</v>
      </c>
      <c r="F164" t="s">
        <v>21</v>
      </c>
      <c r="G164" s="11" t="s">
        <v>22</v>
      </c>
      <c r="H164" s="11">
        <v>0</v>
      </c>
      <c r="I164" s="11">
        <v>0</v>
      </c>
      <c r="J164" s="11">
        <v>4414000</v>
      </c>
      <c r="K164" s="11">
        <v>8731000</v>
      </c>
      <c r="L164" s="11">
        <v>24913700</v>
      </c>
      <c r="M164" s="11">
        <v>29577200</v>
      </c>
      <c r="N164" s="11">
        <v>0</v>
      </c>
    </row>
    <row r="165" spans="1:14" x14ac:dyDescent="0.3">
      <c r="A165" s="10">
        <v>46020</v>
      </c>
      <c r="B165" t="s">
        <v>19</v>
      </c>
      <c r="C165" t="str">
        <f t="shared" si="7"/>
        <v>342856178165</v>
      </c>
      <c r="D165" t="str">
        <f t="shared" si="8"/>
        <v>Client165</v>
      </c>
      <c r="E165" t="str">
        <f t="shared" si="6"/>
        <v>BOB165</v>
      </c>
      <c r="F165" t="s">
        <v>26</v>
      </c>
      <c r="G165" s="11" t="s">
        <v>27</v>
      </c>
      <c r="H165" s="11">
        <v>0</v>
      </c>
      <c r="I165" s="11">
        <v>0</v>
      </c>
      <c r="J165" s="11">
        <v>0</v>
      </c>
      <c r="K165" s="11">
        <v>0</v>
      </c>
      <c r="L165" s="11">
        <v>0</v>
      </c>
      <c r="M165" s="11">
        <v>0</v>
      </c>
      <c r="N165" s="11">
        <v>0</v>
      </c>
    </row>
    <row r="166" spans="1:14" x14ac:dyDescent="0.3">
      <c r="A166" s="10">
        <v>46020</v>
      </c>
      <c r="B166" t="s">
        <v>19</v>
      </c>
      <c r="C166" t="str">
        <f t="shared" si="7"/>
        <v>342856178166</v>
      </c>
      <c r="D166" t="str">
        <f t="shared" si="8"/>
        <v>Client166</v>
      </c>
      <c r="E166" t="str">
        <f t="shared" si="6"/>
        <v>BOB166</v>
      </c>
      <c r="F166" t="s">
        <v>26</v>
      </c>
      <c r="G166" s="11" t="s">
        <v>27</v>
      </c>
      <c r="H166" s="11">
        <v>0</v>
      </c>
      <c r="I166" s="11">
        <v>0</v>
      </c>
      <c r="J166" s="11">
        <v>0</v>
      </c>
      <c r="K166" s="11">
        <v>0</v>
      </c>
      <c r="L166" s="11">
        <v>1719100</v>
      </c>
      <c r="M166" s="11">
        <v>1657100</v>
      </c>
      <c r="N166" s="11">
        <v>0</v>
      </c>
    </row>
    <row r="167" spans="1:14" x14ac:dyDescent="0.3">
      <c r="A167" s="10">
        <v>46020</v>
      </c>
      <c r="B167" t="s">
        <v>19</v>
      </c>
      <c r="C167" t="str">
        <f t="shared" si="7"/>
        <v>342856178167</v>
      </c>
      <c r="D167" t="str">
        <f t="shared" si="8"/>
        <v>Client167</v>
      </c>
      <c r="E167" t="str">
        <f t="shared" si="6"/>
        <v>BOB167</v>
      </c>
      <c r="F167" t="s">
        <v>21</v>
      </c>
      <c r="G167" s="11" t="s">
        <v>22</v>
      </c>
      <c r="H167" s="11">
        <v>0</v>
      </c>
      <c r="I167" s="11">
        <v>0</v>
      </c>
      <c r="J167" s="11">
        <v>0</v>
      </c>
      <c r="K167" s="11">
        <v>1500000</v>
      </c>
      <c r="L167" s="11">
        <v>2382300</v>
      </c>
      <c r="M167" s="11">
        <v>4822900</v>
      </c>
      <c r="N167" s="11">
        <v>0</v>
      </c>
    </row>
    <row r="168" spans="1:14" x14ac:dyDescent="0.3">
      <c r="A168" s="10">
        <v>46020</v>
      </c>
      <c r="B168" t="s">
        <v>19</v>
      </c>
      <c r="C168" t="str">
        <f t="shared" si="7"/>
        <v>342856178168</v>
      </c>
      <c r="D168" t="str">
        <f t="shared" si="8"/>
        <v>Client168</v>
      </c>
      <c r="E168" t="str">
        <f t="shared" si="6"/>
        <v>BOB168</v>
      </c>
      <c r="F168" t="s">
        <v>32</v>
      </c>
      <c r="G168" s="11" t="s">
        <v>22</v>
      </c>
      <c r="H168" s="11">
        <v>0</v>
      </c>
      <c r="I168" s="11">
        <v>0</v>
      </c>
      <c r="J168" s="11">
        <v>4320000</v>
      </c>
      <c r="K168" s="11">
        <v>3470000</v>
      </c>
      <c r="L168" s="11">
        <v>11905700</v>
      </c>
      <c r="M168" s="11">
        <v>11290200</v>
      </c>
      <c r="N168" s="11">
        <v>0</v>
      </c>
    </row>
    <row r="169" spans="1:14" x14ac:dyDescent="0.3">
      <c r="A169" s="10">
        <v>46020</v>
      </c>
      <c r="B169" t="s">
        <v>19</v>
      </c>
      <c r="C169" t="str">
        <f t="shared" si="7"/>
        <v>342856178169</v>
      </c>
      <c r="D169" t="str">
        <f t="shared" si="8"/>
        <v>Client169</v>
      </c>
      <c r="E169" t="str">
        <f t="shared" si="6"/>
        <v>BOB169</v>
      </c>
      <c r="F169" t="s">
        <v>32</v>
      </c>
      <c r="G169" s="11" t="s">
        <v>22</v>
      </c>
      <c r="H169" s="11">
        <v>0</v>
      </c>
      <c r="I169" s="11">
        <v>0</v>
      </c>
      <c r="J169" s="11">
        <v>1417500</v>
      </c>
      <c r="K169" s="11">
        <v>4300000</v>
      </c>
      <c r="L169" s="11">
        <v>16719800</v>
      </c>
      <c r="M169" s="11">
        <v>19584400</v>
      </c>
      <c r="N169" s="11">
        <v>0</v>
      </c>
    </row>
    <row r="170" spans="1:14" x14ac:dyDescent="0.3">
      <c r="A170" s="10">
        <v>46020</v>
      </c>
      <c r="B170" t="s">
        <v>19</v>
      </c>
      <c r="C170" t="str">
        <f t="shared" si="7"/>
        <v>342856178170</v>
      </c>
      <c r="D170" t="str">
        <f t="shared" si="8"/>
        <v>Client170</v>
      </c>
      <c r="E170" t="str">
        <f t="shared" si="6"/>
        <v>BOB170</v>
      </c>
      <c r="F170" t="s">
        <v>32</v>
      </c>
      <c r="G170" s="11" t="s">
        <v>22</v>
      </c>
      <c r="H170" s="11">
        <v>85000000</v>
      </c>
      <c r="I170" s="11">
        <v>0</v>
      </c>
      <c r="J170" s="11">
        <v>0</v>
      </c>
      <c r="K170" s="11">
        <v>0</v>
      </c>
      <c r="L170" s="11">
        <v>83576100</v>
      </c>
      <c r="M170" s="11">
        <v>1762000</v>
      </c>
      <c r="N170" s="11">
        <v>0</v>
      </c>
    </row>
    <row r="171" spans="1:14" x14ac:dyDescent="0.3">
      <c r="A171" s="10">
        <v>46020</v>
      </c>
      <c r="B171" t="s">
        <v>19</v>
      </c>
      <c r="C171" t="str">
        <f t="shared" si="7"/>
        <v>342856178171</v>
      </c>
      <c r="D171" t="str">
        <f t="shared" si="8"/>
        <v>Client171</v>
      </c>
      <c r="E171" t="str">
        <f t="shared" si="6"/>
        <v>BOB171</v>
      </c>
      <c r="F171" t="s">
        <v>21</v>
      </c>
      <c r="G171" s="11" t="s">
        <v>22</v>
      </c>
      <c r="H171" s="11">
        <v>10000000</v>
      </c>
      <c r="I171" s="11">
        <v>0</v>
      </c>
      <c r="J171" s="11">
        <v>29964000</v>
      </c>
      <c r="K171" s="11">
        <v>0</v>
      </c>
      <c r="L171" s="11">
        <v>53238500</v>
      </c>
      <c r="M171" s="11">
        <v>17088000</v>
      </c>
      <c r="N171" s="11">
        <v>0</v>
      </c>
    </row>
    <row r="172" spans="1:14" x14ac:dyDescent="0.3">
      <c r="A172" s="10">
        <v>46020</v>
      </c>
      <c r="B172" t="s">
        <v>19</v>
      </c>
      <c r="C172" t="str">
        <f t="shared" si="7"/>
        <v>342856178172</v>
      </c>
      <c r="D172" t="str">
        <f t="shared" si="8"/>
        <v>Client172</v>
      </c>
      <c r="E172" t="str">
        <f t="shared" si="6"/>
        <v>BOB172</v>
      </c>
      <c r="F172" t="s">
        <v>32</v>
      </c>
      <c r="G172" s="11" t="s">
        <v>22</v>
      </c>
      <c r="H172" s="11">
        <v>0</v>
      </c>
      <c r="I172" s="11">
        <v>0</v>
      </c>
      <c r="J172" s="11">
        <v>0</v>
      </c>
      <c r="K172" s="11">
        <v>190000</v>
      </c>
      <c r="L172" s="11">
        <v>4294800</v>
      </c>
      <c r="M172" s="11">
        <v>4370100</v>
      </c>
      <c r="N172" s="11">
        <v>0</v>
      </c>
    </row>
    <row r="173" spans="1:14" x14ac:dyDescent="0.3">
      <c r="A173" s="10">
        <v>46020</v>
      </c>
      <c r="B173" t="s">
        <v>19</v>
      </c>
      <c r="C173" t="str">
        <f t="shared" si="7"/>
        <v>342856178173</v>
      </c>
      <c r="D173" t="str">
        <f t="shared" si="8"/>
        <v>Client173</v>
      </c>
      <c r="E173" t="str">
        <f t="shared" si="6"/>
        <v>BOB173</v>
      </c>
      <c r="F173" t="s">
        <v>26</v>
      </c>
      <c r="G173" s="11" t="s">
        <v>27</v>
      </c>
      <c r="H173" s="11">
        <v>0</v>
      </c>
      <c r="I173" s="11">
        <v>0</v>
      </c>
      <c r="J173" s="11">
        <v>0</v>
      </c>
      <c r="K173" s="11">
        <v>1001000</v>
      </c>
      <c r="L173" s="11">
        <v>808300</v>
      </c>
      <c r="M173" s="11">
        <v>2130000</v>
      </c>
      <c r="N173" s="11">
        <v>0</v>
      </c>
    </row>
    <row r="174" spans="1:14" x14ac:dyDescent="0.3">
      <c r="A174" s="10">
        <v>46020</v>
      </c>
      <c r="B174" t="s">
        <v>19</v>
      </c>
      <c r="C174" t="str">
        <f t="shared" si="7"/>
        <v>342856178174</v>
      </c>
      <c r="D174" t="str">
        <f t="shared" si="8"/>
        <v>Client174</v>
      </c>
      <c r="E174" t="str">
        <f t="shared" si="6"/>
        <v>BOB174</v>
      </c>
      <c r="F174" t="s">
        <v>68</v>
      </c>
      <c r="G174" s="11" t="s">
        <v>22</v>
      </c>
      <c r="H174" s="11">
        <v>0</v>
      </c>
      <c r="I174" s="11">
        <v>0</v>
      </c>
      <c r="J174" s="11">
        <v>0</v>
      </c>
      <c r="K174" s="11">
        <v>7767000</v>
      </c>
      <c r="L174" s="11">
        <v>310700</v>
      </c>
      <c r="M174" s="11">
        <v>144000</v>
      </c>
      <c r="N174" s="11">
        <v>0</v>
      </c>
    </row>
    <row r="175" spans="1:14" x14ac:dyDescent="0.3">
      <c r="A175" s="10">
        <v>46020</v>
      </c>
      <c r="B175" t="s">
        <v>19</v>
      </c>
      <c r="C175" t="str">
        <f t="shared" si="7"/>
        <v>342856178175</v>
      </c>
      <c r="D175" t="str">
        <f t="shared" si="8"/>
        <v>Client175</v>
      </c>
      <c r="E175" t="str">
        <f t="shared" si="6"/>
        <v>BOB175</v>
      </c>
      <c r="F175" t="s">
        <v>26</v>
      </c>
      <c r="G175" s="11" t="s">
        <v>27</v>
      </c>
      <c r="H175" s="11">
        <v>0</v>
      </c>
      <c r="I175" s="11">
        <v>0</v>
      </c>
      <c r="J175" s="11">
        <v>0</v>
      </c>
      <c r="K175" s="11">
        <v>0</v>
      </c>
      <c r="L175" s="11">
        <v>4533500</v>
      </c>
      <c r="M175" s="11">
        <v>4462100</v>
      </c>
      <c r="N175" s="11">
        <v>0</v>
      </c>
    </row>
    <row r="176" spans="1:14" x14ac:dyDescent="0.3">
      <c r="A176" s="10">
        <v>46020</v>
      </c>
      <c r="B176" t="s">
        <v>19</v>
      </c>
      <c r="C176" t="str">
        <f t="shared" si="7"/>
        <v>342856178176</v>
      </c>
      <c r="D176" t="str">
        <f t="shared" si="8"/>
        <v>Client176</v>
      </c>
      <c r="E176" t="str">
        <f t="shared" si="6"/>
        <v>BOB176</v>
      </c>
      <c r="F176" t="s">
        <v>21</v>
      </c>
      <c r="G176" s="11" t="s">
        <v>22</v>
      </c>
      <c r="H176" s="11">
        <v>0</v>
      </c>
      <c r="I176" s="11">
        <v>0</v>
      </c>
      <c r="J176" s="11">
        <v>0</v>
      </c>
      <c r="K176" s="11">
        <v>0</v>
      </c>
      <c r="L176" s="11">
        <v>0</v>
      </c>
      <c r="M176" s="11">
        <v>0</v>
      </c>
      <c r="N176" s="11">
        <v>0</v>
      </c>
    </row>
    <row r="177" spans="1:14" x14ac:dyDescent="0.3">
      <c r="A177" s="10">
        <v>46020</v>
      </c>
      <c r="B177" t="s">
        <v>19</v>
      </c>
      <c r="C177" t="str">
        <f t="shared" si="7"/>
        <v>342856178177</v>
      </c>
      <c r="D177" t="str">
        <f t="shared" si="8"/>
        <v>Client177</v>
      </c>
      <c r="E177" t="str">
        <f t="shared" si="6"/>
        <v>BOB177</v>
      </c>
      <c r="F177" t="s">
        <v>30</v>
      </c>
      <c r="G177" s="11" t="s">
        <v>84</v>
      </c>
      <c r="H177" s="11">
        <v>0</v>
      </c>
      <c r="I177" s="11">
        <v>0</v>
      </c>
      <c r="J177" s="11">
        <v>0</v>
      </c>
      <c r="K177" s="11">
        <v>0</v>
      </c>
      <c r="L177" s="11">
        <v>5084200</v>
      </c>
      <c r="M177" s="11">
        <v>6254000</v>
      </c>
      <c r="N177" s="11">
        <v>0</v>
      </c>
    </row>
    <row r="178" spans="1:14" x14ac:dyDescent="0.3">
      <c r="A178" s="10">
        <v>46020</v>
      </c>
      <c r="B178" t="s">
        <v>19</v>
      </c>
      <c r="C178" t="str">
        <f t="shared" si="7"/>
        <v>342856178178</v>
      </c>
      <c r="D178" t="str">
        <f t="shared" si="8"/>
        <v>Client178</v>
      </c>
      <c r="E178" t="str">
        <f t="shared" si="6"/>
        <v>BOB178</v>
      </c>
      <c r="F178" t="s">
        <v>32</v>
      </c>
      <c r="G178" s="11" t="s">
        <v>22</v>
      </c>
      <c r="H178" s="11">
        <v>0</v>
      </c>
      <c r="I178" s="11">
        <v>902000</v>
      </c>
      <c r="J178" s="11">
        <v>0</v>
      </c>
      <c r="K178" s="11">
        <v>0</v>
      </c>
      <c r="L178" s="11">
        <v>10084700</v>
      </c>
      <c r="M178" s="11">
        <v>12724200</v>
      </c>
      <c r="N178" s="11">
        <v>0</v>
      </c>
    </row>
    <row r="179" spans="1:14" x14ac:dyDescent="0.3">
      <c r="A179" s="10">
        <v>46020</v>
      </c>
      <c r="B179" t="s">
        <v>19</v>
      </c>
      <c r="C179" t="str">
        <f t="shared" si="7"/>
        <v>342856178179</v>
      </c>
      <c r="D179" t="str">
        <f t="shared" si="8"/>
        <v>Client179</v>
      </c>
      <c r="E179" t="str">
        <f t="shared" si="6"/>
        <v>BOB179</v>
      </c>
      <c r="F179" t="s">
        <v>21</v>
      </c>
      <c r="G179" s="11" t="s">
        <v>22</v>
      </c>
      <c r="H179" s="11">
        <v>0</v>
      </c>
      <c r="I179" s="11">
        <v>1503000</v>
      </c>
      <c r="J179" s="11">
        <v>0</v>
      </c>
      <c r="K179" s="11">
        <v>0</v>
      </c>
      <c r="L179" s="11">
        <v>9780700</v>
      </c>
      <c r="M179" s="11">
        <v>12112800</v>
      </c>
      <c r="N179" s="11">
        <v>0</v>
      </c>
    </row>
    <row r="180" spans="1:14" x14ac:dyDescent="0.3">
      <c r="A180" s="10">
        <v>46020</v>
      </c>
      <c r="B180" t="s">
        <v>19</v>
      </c>
      <c r="C180" t="str">
        <f t="shared" si="7"/>
        <v>342856178180</v>
      </c>
      <c r="D180" t="str">
        <f t="shared" si="8"/>
        <v>Client180</v>
      </c>
      <c r="E180" t="str">
        <f t="shared" si="6"/>
        <v>BOB180</v>
      </c>
      <c r="F180" t="s">
        <v>32</v>
      </c>
      <c r="G180" s="11" t="s">
        <v>22</v>
      </c>
      <c r="H180" s="11">
        <v>0</v>
      </c>
      <c r="I180" s="11">
        <v>0</v>
      </c>
      <c r="J180" s="11">
        <v>0</v>
      </c>
      <c r="K180" s="11">
        <v>0</v>
      </c>
      <c r="L180" s="11">
        <v>0</v>
      </c>
      <c r="M180" s="11">
        <v>0</v>
      </c>
      <c r="N180" s="11">
        <v>0</v>
      </c>
    </row>
    <row r="181" spans="1:14" x14ac:dyDescent="0.3">
      <c r="A181" s="10">
        <v>46020</v>
      </c>
      <c r="B181" t="s">
        <v>19</v>
      </c>
      <c r="C181" t="str">
        <f t="shared" si="7"/>
        <v>342856178181</v>
      </c>
      <c r="D181" t="str">
        <f t="shared" si="8"/>
        <v>Client181</v>
      </c>
      <c r="E181" t="str">
        <f t="shared" si="6"/>
        <v>BOB181</v>
      </c>
      <c r="F181" t="s">
        <v>21</v>
      </c>
      <c r="G181" s="11" t="s">
        <v>22</v>
      </c>
      <c r="H181" s="11">
        <v>0</v>
      </c>
      <c r="I181" s="11">
        <v>0</v>
      </c>
      <c r="J181" s="11">
        <v>0</v>
      </c>
      <c r="K181" s="11">
        <v>0</v>
      </c>
      <c r="L181" s="11">
        <v>2524400</v>
      </c>
      <c r="M181" s="11">
        <v>2755600</v>
      </c>
      <c r="N181" s="11">
        <v>0</v>
      </c>
    </row>
    <row r="182" spans="1:14" x14ac:dyDescent="0.3">
      <c r="A182" s="10">
        <v>46020</v>
      </c>
      <c r="B182" t="s">
        <v>19</v>
      </c>
      <c r="C182" t="str">
        <f t="shared" si="7"/>
        <v>342856178182</v>
      </c>
      <c r="D182" t="str">
        <f t="shared" si="8"/>
        <v>Client182</v>
      </c>
      <c r="E182" t="str">
        <f t="shared" si="6"/>
        <v>BOB182</v>
      </c>
      <c r="F182" t="s">
        <v>21</v>
      </c>
      <c r="G182" s="11" t="s">
        <v>22</v>
      </c>
      <c r="H182" s="11">
        <v>0</v>
      </c>
      <c r="I182" s="11">
        <v>0</v>
      </c>
      <c r="J182" s="11">
        <v>0</v>
      </c>
      <c r="K182" s="11">
        <v>0</v>
      </c>
      <c r="L182" s="11">
        <v>7400</v>
      </c>
      <c r="M182" s="11">
        <v>0</v>
      </c>
      <c r="N182" s="11">
        <v>0</v>
      </c>
    </row>
    <row r="183" spans="1:14" x14ac:dyDescent="0.3">
      <c r="A183" s="10">
        <v>46020</v>
      </c>
      <c r="B183" t="s">
        <v>19</v>
      </c>
      <c r="C183" t="str">
        <f t="shared" si="7"/>
        <v>342856178183</v>
      </c>
      <c r="D183" t="str">
        <f t="shared" si="8"/>
        <v>Client183</v>
      </c>
      <c r="E183" t="str">
        <f t="shared" si="6"/>
        <v>BOB183</v>
      </c>
      <c r="F183" t="s">
        <v>24</v>
      </c>
      <c r="G183" s="11" t="s">
        <v>22</v>
      </c>
      <c r="H183" s="11">
        <v>0</v>
      </c>
      <c r="I183" s="11">
        <v>0</v>
      </c>
      <c r="J183" s="11">
        <v>0</v>
      </c>
      <c r="K183" s="11">
        <v>0</v>
      </c>
      <c r="L183" s="11">
        <v>37894400</v>
      </c>
      <c r="M183" s="11">
        <v>37215000</v>
      </c>
      <c r="N183" s="11">
        <v>0</v>
      </c>
    </row>
    <row r="184" spans="1:14" x14ac:dyDescent="0.3">
      <c r="A184" s="10">
        <v>46020</v>
      </c>
      <c r="B184" t="s">
        <v>19</v>
      </c>
      <c r="C184" t="str">
        <f t="shared" si="7"/>
        <v>342856178184</v>
      </c>
      <c r="D184" t="str">
        <f t="shared" si="8"/>
        <v>Client184</v>
      </c>
      <c r="E184" t="str">
        <f t="shared" si="6"/>
        <v>BOB184</v>
      </c>
      <c r="F184" t="s">
        <v>21</v>
      </c>
      <c r="G184" s="11" t="s">
        <v>22</v>
      </c>
      <c r="H184" s="11">
        <v>0</v>
      </c>
      <c r="I184" s="11">
        <v>0</v>
      </c>
      <c r="J184" s="11">
        <v>0</v>
      </c>
      <c r="K184" s="11">
        <v>6105000</v>
      </c>
      <c r="L184" s="11">
        <v>35936600</v>
      </c>
      <c r="M184" s="11">
        <v>39948100</v>
      </c>
      <c r="N184" s="11">
        <v>0</v>
      </c>
    </row>
    <row r="185" spans="1:14" x14ac:dyDescent="0.3">
      <c r="A185" s="10">
        <v>46020</v>
      </c>
      <c r="B185" t="s">
        <v>19</v>
      </c>
      <c r="C185" t="str">
        <f t="shared" si="7"/>
        <v>342856178185</v>
      </c>
      <c r="D185" t="str">
        <f t="shared" si="8"/>
        <v>Client185</v>
      </c>
      <c r="E185" t="str">
        <f t="shared" si="6"/>
        <v>BOB185</v>
      </c>
      <c r="F185" t="s">
        <v>32</v>
      </c>
      <c r="G185" s="11" t="s">
        <v>22</v>
      </c>
      <c r="H185" s="11">
        <v>0</v>
      </c>
      <c r="I185" s="11">
        <v>0</v>
      </c>
      <c r="J185" s="11">
        <v>1301000</v>
      </c>
      <c r="K185" s="11">
        <v>3411000</v>
      </c>
      <c r="L185" s="11">
        <v>15430900</v>
      </c>
      <c r="M185" s="11">
        <v>17830000</v>
      </c>
      <c r="N185" s="11">
        <v>0</v>
      </c>
    </row>
    <row r="186" spans="1:14" x14ac:dyDescent="0.3">
      <c r="A186" s="10">
        <v>46020</v>
      </c>
      <c r="B186" t="s">
        <v>19</v>
      </c>
      <c r="C186" t="str">
        <f t="shared" si="7"/>
        <v>342856178186</v>
      </c>
      <c r="D186" t="str">
        <f t="shared" si="8"/>
        <v>Client186</v>
      </c>
      <c r="E186" t="str">
        <f t="shared" si="6"/>
        <v>BOB186</v>
      </c>
      <c r="F186" t="s">
        <v>21</v>
      </c>
      <c r="G186" s="11" t="s">
        <v>22</v>
      </c>
      <c r="H186" s="11">
        <v>0</v>
      </c>
      <c r="I186" s="11">
        <v>0</v>
      </c>
      <c r="J186" s="11">
        <v>0</v>
      </c>
      <c r="K186" s="11">
        <v>0</v>
      </c>
      <c r="L186" s="11">
        <v>3922000</v>
      </c>
      <c r="M186" s="11">
        <v>4066000</v>
      </c>
      <c r="N186" s="11">
        <v>0</v>
      </c>
    </row>
    <row r="187" spans="1:14" x14ac:dyDescent="0.3">
      <c r="A187" s="10">
        <v>46020</v>
      </c>
      <c r="B187" t="s">
        <v>19</v>
      </c>
      <c r="C187" t="str">
        <f t="shared" si="7"/>
        <v>342856178187</v>
      </c>
      <c r="D187" t="str">
        <f t="shared" si="8"/>
        <v>Client187</v>
      </c>
      <c r="E187" t="str">
        <f t="shared" si="6"/>
        <v>BOB187</v>
      </c>
      <c r="G187" s="11"/>
      <c r="H187" s="11">
        <v>0</v>
      </c>
      <c r="I187" s="11">
        <v>0</v>
      </c>
      <c r="J187" s="11">
        <v>0</v>
      </c>
      <c r="K187" s="11">
        <v>1201200</v>
      </c>
      <c r="L187" s="11">
        <v>3945200</v>
      </c>
      <c r="M187" s="11">
        <v>5518100</v>
      </c>
      <c r="N187" s="11">
        <v>0</v>
      </c>
    </row>
    <row r="188" spans="1:14" x14ac:dyDescent="0.3">
      <c r="A188" s="10">
        <v>46020</v>
      </c>
      <c r="B188" t="s">
        <v>19</v>
      </c>
      <c r="C188" t="str">
        <f t="shared" si="7"/>
        <v>342856178188</v>
      </c>
      <c r="D188" t="str">
        <f t="shared" si="8"/>
        <v>Client188</v>
      </c>
      <c r="E188" t="str">
        <f t="shared" si="6"/>
        <v>BOB188</v>
      </c>
      <c r="F188" t="s">
        <v>24</v>
      </c>
      <c r="G188" s="11" t="s">
        <v>22</v>
      </c>
      <c r="H188" s="11">
        <v>0</v>
      </c>
      <c r="I188" s="11">
        <v>0</v>
      </c>
      <c r="J188" s="11">
        <v>0</v>
      </c>
      <c r="K188" s="11">
        <v>0</v>
      </c>
      <c r="L188" s="11">
        <v>18726000</v>
      </c>
      <c r="M188" s="11">
        <v>25295700</v>
      </c>
      <c r="N188" s="11">
        <v>0</v>
      </c>
    </row>
    <row r="189" spans="1:14" x14ac:dyDescent="0.3">
      <c r="A189" s="10">
        <v>46020</v>
      </c>
      <c r="B189" t="s">
        <v>19</v>
      </c>
      <c r="C189" t="str">
        <f t="shared" si="7"/>
        <v>342856178189</v>
      </c>
      <c r="D189" t="str">
        <f t="shared" si="8"/>
        <v>Client189</v>
      </c>
      <c r="E189" t="str">
        <f t="shared" si="6"/>
        <v>BOB189</v>
      </c>
      <c r="F189" t="s">
        <v>30</v>
      </c>
      <c r="G189" s="11" t="s">
        <v>76</v>
      </c>
      <c r="H189" s="11">
        <v>0</v>
      </c>
      <c r="I189" s="11">
        <v>0</v>
      </c>
      <c r="J189" s="11">
        <v>0</v>
      </c>
      <c r="K189" s="11">
        <v>0</v>
      </c>
      <c r="L189" s="11">
        <v>488400</v>
      </c>
      <c r="M189" s="11">
        <v>688000</v>
      </c>
      <c r="N189" s="11">
        <v>0</v>
      </c>
    </row>
    <row r="190" spans="1:14" x14ac:dyDescent="0.3">
      <c r="A190" s="10">
        <v>46020</v>
      </c>
      <c r="B190" t="s">
        <v>19</v>
      </c>
      <c r="C190" t="str">
        <f t="shared" si="7"/>
        <v>342856178190</v>
      </c>
      <c r="D190" t="str">
        <f t="shared" si="8"/>
        <v>Client190</v>
      </c>
      <c r="E190" t="str">
        <f t="shared" si="6"/>
        <v>BOB190</v>
      </c>
      <c r="F190" t="s">
        <v>24</v>
      </c>
      <c r="G190" s="11" t="s">
        <v>22</v>
      </c>
      <c r="H190" s="11">
        <v>0</v>
      </c>
      <c r="I190" s="11">
        <v>0</v>
      </c>
      <c r="J190" s="11">
        <v>0</v>
      </c>
      <c r="K190" s="11">
        <v>1001500</v>
      </c>
      <c r="L190" s="11">
        <v>4880800</v>
      </c>
      <c r="M190" s="11">
        <v>5882800</v>
      </c>
      <c r="N190" s="11">
        <v>0</v>
      </c>
    </row>
    <row r="191" spans="1:14" x14ac:dyDescent="0.3">
      <c r="A191" s="10">
        <v>46020</v>
      </c>
      <c r="B191" t="s">
        <v>19</v>
      </c>
      <c r="C191" t="str">
        <f t="shared" si="7"/>
        <v>342856178191</v>
      </c>
      <c r="D191" t="str">
        <f t="shared" si="8"/>
        <v>Client191</v>
      </c>
      <c r="E191" t="str">
        <f t="shared" si="6"/>
        <v>BOB191</v>
      </c>
      <c r="F191" t="s">
        <v>24</v>
      </c>
      <c r="G191" s="11" t="s">
        <v>22</v>
      </c>
      <c r="H191" s="11">
        <v>0</v>
      </c>
      <c r="I191" s="11">
        <v>0</v>
      </c>
      <c r="J191" s="11">
        <v>0</v>
      </c>
      <c r="K191" s="11">
        <v>650000</v>
      </c>
      <c r="L191" s="11">
        <v>1508300</v>
      </c>
      <c r="M191" s="11">
        <v>1822300</v>
      </c>
      <c r="N191" s="11">
        <v>0</v>
      </c>
    </row>
    <row r="192" spans="1:14" x14ac:dyDescent="0.3">
      <c r="A192" s="10">
        <v>46020</v>
      </c>
      <c r="B192" t="s">
        <v>19</v>
      </c>
      <c r="C192" t="str">
        <f t="shared" si="7"/>
        <v>342856178192</v>
      </c>
      <c r="D192" t="str">
        <f t="shared" si="8"/>
        <v>Client192</v>
      </c>
      <c r="E192" t="str">
        <f t="shared" si="6"/>
        <v>BOB192</v>
      </c>
      <c r="F192" t="s">
        <v>21</v>
      </c>
      <c r="G192" s="11" t="s">
        <v>22</v>
      </c>
      <c r="H192" s="11">
        <v>0</v>
      </c>
      <c r="I192" s="11">
        <v>0</v>
      </c>
      <c r="J192" s="11">
        <v>0</v>
      </c>
      <c r="K192" s="11">
        <v>0</v>
      </c>
      <c r="L192" s="11">
        <v>314900</v>
      </c>
      <c r="M192" s="11">
        <v>395000</v>
      </c>
      <c r="N192" s="11">
        <v>0</v>
      </c>
    </row>
    <row r="193" spans="1:14" x14ac:dyDescent="0.3">
      <c r="A193" s="10">
        <v>46020</v>
      </c>
      <c r="B193" t="s">
        <v>19</v>
      </c>
      <c r="C193" t="str">
        <f t="shared" si="7"/>
        <v>342856178193</v>
      </c>
      <c r="D193" t="str">
        <f t="shared" si="8"/>
        <v>Client193</v>
      </c>
      <c r="E193" t="str">
        <f t="shared" si="6"/>
        <v>BOB193</v>
      </c>
      <c r="G193" s="11"/>
      <c r="H193" s="11">
        <v>0</v>
      </c>
      <c r="I193" s="11">
        <v>0</v>
      </c>
      <c r="J193" s="11">
        <v>0</v>
      </c>
      <c r="K193" s="11">
        <v>460000</v>
      </c>
      <c r="L193" s="11">
        <v>655200</v>
      </c>
      <c r="M193" s="11">
        <v>1106500</v>
      </c>
      <c r="N193" s="11">
        <v>0</v>
      </c>
    </row>
    <row r="194" spans="1:14" x14ac:dyDescent="0.3">
      <c r="A194" s="10">
        <v>46020</v>
      </c>
      <c r="B194" t="s">
        <v>19</v>
      </c>
      <c r="C194" t="str">
        <f t="shared" si="7"/>
        <v>342856178194</v>
      </c>
      <c r="D194" t="str">
        <f t="shared" si="8"/>
        <v>Client194</v>
      </c>
      <c r="E194" t="str">
        <f t="shared" si="6"/>
        <v>BOB194</v>
      </c>
      <c r="F194" t="s">
        <v>26</v>
      </c>
      <c r="G194" s="11" t="s">
        <v>27</v>
      </c>
      <c r="H194" s="11">
        <v>0</v>
      </c>
      <c r="I194" s="11">
        <v>0</v>
      </c>
      <c r="J194" s="11">
        <v>0</v>
      </c>
      <c r="K194" s="11">
        <v>0</v>
      </c>
      <c r="L194" s="11">
        <v>4283900</v>
      </c>
      <c r="M194" s="11">
        <v>3515500</v>
      </c>
      <c r="N194" s="11">
        <v>0</v>
      </c>
    </row>
    <row r="195" spans="1:14" x14ac:dyDescent="0.3">
      <c r="A195" s="10">
        <v>46020</v>
      </c>
      <c r="B195" t="s">
        <v>19</v>
      </c>
      <c r="C195" t="str">
        <f t="shared" si="7"/>
        <v>342856178195</v>
      </c>
      <c r="D195" t="str">
        <f t="shared" si="8"/>
        <v>Client195</v>
      </c>
      <c r="E195" t="str">
        <f t="shared" ref="E195:E258" si="9">"BOB"&amp;ROW()</f>
        <v>BOB195</v>
      </c>
      <c r="F195" t="s">
        <v>32</v>
      </c>
      <c r="G195" s="11" t="s">
        <v>22</v>
      </c>
      <c r="H195" s="11">
        <v>0</v>
      </c>
      <c r="I195" s="11">
        <v>9889400</v>
      </c>
      <c r="J195" s="11">
        <v>0</v>
      </c>
      <c r="K195" s="11">
        <v>0</v>
      </c>
      <c r="L195" s="11">
        <v>15317600</v>
      </c>
      <c r="M195" s="11">
        <v>27205100</v>
      </c>
      <c r="N195" s="11">
        <v>0</v>
      </c>
    </row>
    <row r="196" spans="1:14" x14ac:dyDescent="0.3">
      <c r="A196" s="10">
        <v>46020</v>
      </c>
      <c r="B196" t="s">
        <v>19</v>
      </c>
      <c r="C196" t="str">
        <f t="shared" ref="C196:C259" si="10" xml:space="preserve"> "342856178" &amp; ROW()</f>
        <v>342856178196</v>
      </c>
      <c r="D196" t="str">
        <f t="shared" ref="D196:D259" si="11">"Client"  &amp; ROW()</f>
        <v>Client196</v>
      </c>
      <c r="E196" t="str">
        <f t="shared" si="9"/>
        <v>BOB196</v>
      </c>
      <c r="F196" t="s">
        <v>26</v>
      </c>
      <c r="G196" s="11" t="s">
        <v>27</v>
      </c>
      <c r="H196" s="11">
        <v>0</v>
      </c>
      <c r="I196" s="11">
        <v>0</v>
      </c>
      <c r="J196" s="11">
        <v>0</v>
      </c>
      <c r="K196" s="11">
        <v>0</v>
      </c>
      <c r="L196" s="11">
        <v>0</v>
      </c>
      <c r="M196" s="11">
        <v>0</v>
      </c>
      <c r="N196" s="11">
        <v>0</v>
      </c>
    </row>
    <row r="197" spans="1:14" x14ac:dyDescent="0.3">
      <c r="A197" s="10">
        <v>46020</v>
      </c>
      <c r="B197" t="s">
        <v>19</v>
      </c>
      <c r="C197" t="str">
        <f t="shared" si="10"/>
        <v>342856178197</v>
      </c>
      <c r="D197" t="str">
        <f t="shared" si="11"/>
        <v>Client197</v>
      </c>
      <c r="E197" t="str">
        <f t="shared" si="9"/>
        <v>BOB197</v>
      </c>
      <c r="F197" t="s">
        <v>32</v>
      </c>
      <c r="G197" s="11" t="s">
        <v>22</v>
      </c>
      <c r="H197" s="11">
        <v>0</v>
      </c>
      <c r="I197" s="11">
        <v>0</v>
      </c>
      <c r="J197" s="11">
        <v>0</v>
      </c>
      <c r="K197" s="11">
        <v>0</v>
      </c>
      <c r="L197" s="11">
        <v>4864800</v>
      </c>
      <c r="M197" s="11">
        <v>2732700</v>
      </c>
      <c r="N197" s="11">
        <v>0</v>
      </c>
    </row>
    <row r="198" spans="1:14" x14ac:dyDescent="0.3">
      <c r="A198" s="10">
        <v>46020</v>
      </c>
      <c r="B198" t="s">
        <v>19</v>
      </c>
      <c r="C198" t="str">
        <f t="shared" si="10"/>
        <v>342856178198</v>
      </c>
      <c r="D198" t="str">
        <f t="shared" si="11"/>
        <v>Client198</v>
      </c>
      <c r="E198" t="str">
        <f t="shared" si="9"/>
        <v>BOB198</v>
      </c>
      <c r="F198" t="s">
        <v>32</v>
      </c>
      <c r="G198" s="11" t="s">
        <v>22</v>
      </c>
      <c r="H198" s="11">
        <v>0</v>
      </c>
      <c r="I198" s="11">
        <v>0</v>
      </c>
      <c r="J198" s="11">
        <v>0</v>
      </c>
      <c r="K198" s="11">
        <v>0</v>
      </c>
      <c r="L198" s="11">
        <v>1214000</v>
      </c>
      <c r="M198" s="11">
        <v>924500</v>
      </c>
      <c r="N198" s="11">
        <v>0</v>
      </c>
    </row>
    <row r="199" spans="1:14" x14ac:dyDescent="0.3">
      <c r="A199" s="10">
        <v>46020</v>
      </c>
      <c r="B199" t="s">
        <v>19</v>
      </c>
      <c r="C199" t="str">
        <f t="shared" si="10"/>
        <v>342856178199</v>
      </c>
      <c r="D199" t="str">
        <f t="shared" si="11"/>
        <v>Client199</v>
      </c>
      <c r="E199" t="str">
        <f t="shared" si="9"/>
        <v>BOB199</v>
      </c>
      <c r="F199" t="s">
        <v>32</v>
      </c>
      <c r="G199" s="11" t="s">
        <v>22</v>
      </c>
      <c r="H199" s="11">
        <v>0</v>
      </c>
      <c r="I199" s="11">
        <v>0</v>
      </c>
      <c r="J199" s="11">
        <v>2805000</v>
      </c>
      <c r="K199" s="11">
        <v>4010000</v>
      </c>
      <c r="L199" s="11">
        <v>15862500</v>
      </c>
      <c r="M199" s="11">
        <v>17987200</v>
      </c>
      <c r="N199" s="11">
        <v>0</v>
      </c>
    </row>
    <row r="200" spans="1:14" x14ac:dyDescent="0.3">
      <c r="A200" s="10">
        <v>46020</v>
      </c>
      <c r="B200" t="s">
        <v>19</v>
      </c>
      <c r="C200" t="str">
        <f t="shared" si="10"/>
        <v>342856178200</v>
      </c>
      <c r="D200" t="str">
        <f t="shared" si="11"/>
        <v>Client200</v>
      </c>
      <c r="E200" t="str">
        <f t="shared" si="9"/>
        <v>BOB200</v>
      </c>
      <c r="F200" t="s">
        <v>24</v>
      </c>
      <c r="G200" s="11" t="s">
        <v>75</v>
      </c>
      <c r="H200" s="11">
        <v>0</v>
      </c>
      <c r="I200" s="11">
        <v>0</v>
      </c>
      <c r="J200" s="11">
        <v>0</v>
      </c>
      <c r="K200" s="11">
        <v>0</v>
      </c>
      <c r="L200" s="11">
        <v>6397500</v>
      </c>
      <c r="M200" s="11">
        <v>6930300</v>
      </c>
      <c r="N200" s="11">
        <v>0</v>
      </c>
    </row>
    <row r="201" spans="1:14" x14ac:dyDescent="0.3">
      <c r="A201" s="10">
        <v>46020</v>
      </c>
      <c r="B201" t="s">
        <v>19</v>
      </c>
      <c r="C201" t="str">
        <f t="shared" si="10"/>
        <v>342856178201</v>
      </c>
      <c r="D201" t="str">
        <f t="shared" si="11"/>
        <v>Client201</v>
      </c>
      <c r="E201" t="str">
        <f t="shared" si="9"/>
        <v>BOB201</v>
      </c>
      <c r="F201" t="s">
        <v>32</v>
      </c>
      <c r="G201" s="11" t="s">
        <v>22</v>
      </c>
      <c r="H201" s="11">
        <v>0</v>
      </c>
      <c r="I201" s="11">
        <v>0</v>
      </c>
      <c r="J201" s="11">
        <v>9457000</v>
      </c>
      <c r="K201" s="11">
        <v>500000</v>
      </c>
      <c r="L201" s="11">
        <v>19855100</v>
      </c>
      <c r="M201" s="11">
        <v>12896900</v>
      </c>
      <c r="N201" s="11">
        <v>0</v>
      </c>
    </row>
    <row r="202" spans="1:14" x14ac:dyDescent="0.3">
      <c r="A202" s="10">
        <v>46020</v>
      </c>
      <c r="B202" t="s">
        <v>19</v>
      </c>
      <c r="C202" t="str">
        <f t="shared" si="10"/>
        <v>342856178202</v>
      </c>
      <c r="D202" t="str">
        <f t="shared" si="11"/>
        <v>Client202</v>
      </c>
      <c r="E202" t="str">
        <f t="shared" si="9"/>
        <v>BOB202</v>
      </c>
      <c r="F202" t="s">
        <v>32</v>
      </c>
      <c r="G202" s="11" t="s">
        <v>22</v>
      </c>
      <c r="H202" s="11">
        <v>0</v>
      </c>
      <c r="I202" s="11">
        <v>0</v>
      </c>
      <c r="J202" s="11">
        <v>3951000</v>
      </c>
      <c r="K202" s="11">
        <v>3020000</v>
      </c>
      <c r="L202" s="11">
        <v>10121800</v>
      </c>
      <c r="M202" s="11">
        <v>9387500</v>
      </c>
      <c r="N202" s="11">
        <v>0</v>
      </c>
    </row>
    <row r="203" spans="1:14" x14ac:dyDescent="0.3">
      <c r="A203" s="10">
        <v>46020</v>
      </c>
      <c r="B203" t="s">
        <v>19</v>
      </c>
      <c r="C203" t="str">
        <f t="shared" si="10"/>
        <v>342856178203</v>
      </c>
      <c r="D203" t="str">
        <f t="shared" si="11"/>
        <v>Client203</v>
      </c>
      <c r="E203" t="str">
        <f t="shared" si="9"/>
        <v>BOB203</v>
      </c>
      <c r="F203" t="s">
        <v>32</v>
      </c>
      <c r="G203" s="11" t="s">
        <v>22</v>
      </c>
      <c r="H203" s="11">
        <v>0</v>
      </c>
      <c r="I203" s="11">
        <v>0</v>
      </c>
      <c r="J203" s="11">
        <v>600000</v>
      </c>
      <c r="K203" s="11">
        <v>0</v>
      </c>
      <c r="L203" s="11">
        <v>4753200</v>
      </c>
      <c r="M203" s="11">
        <v>3490300</v>
      </c>
      <c r="N203" s="11">
        <v>0</v>
      </c>
    </row>
    <row r="204" spans="1:14" x14ac:dyDescent="0.3">
      <c r="A204" s="10">
        <v>46020</v>
      </c>
      <c r="B204" t="s">
        <v>19</v>
      </c>
      <c r="C204" t="str">
        <f t="shared" si="10"/>
        <v>342856178204</v>
      </c>
      <c r="D204" t="str">
        <f t="shared" si="11"/>
        <v>Client204</v>
      </c>
      <c r="E204" t="str">
        <f t="shared" si="9"/>
        <v>BOB204</v>
      </c>
      <c r="F204" t="s">
        <v>26</v>
      </c>
      <c r="G204" s="11" t="s">
        <v>27</v>
      </c>
      <c r="H204" s="11">
        <v>0</v>
      </c>
      <c r="I204" s="11">
        <v>0</v>
      </c>
      <c r="J204" s="11">
        <v>0</v>
      </c>
      <c r="K204" s="11">
        <v>3403400</v>
      </c>
      <c r="L204" s="11">
        <v>6895800</v>
      </c>
      <c r="M204" s="11">
        <v>12048800</v>
      </c>
      <c r="N204" s="11">
        <v>0</v>
      </c>
    </row>
    <row r="205" spans="1:14" x14ac:dyDescent="0.3">
      <c r="A205" s="10">
        <v>46020</v>
      </c>
      <c r="B205" t="s">
        <v>19</v>
      </c>
      <c r="C205" t="str">
        <f t="shared" si="10"/>
        <v>342856178205</v>
      </c>
      <c r="D205" t="str">
        <f t="shared" si="11"/>
        <v>Client205</v>
      </c>
      <c r="E205" t="str">
        <f t="shared" si="9"/>
        <v>BOB205</v>
      </c>
      <c r="F205" t="s">
        <v>32</v>
      </c>
      <c r="G205" s="11" t="s">
        <v>22</v>
      </c>
      <c r="H205" s="11">
        <v>0</v>
      </c>
      <c r="I205" s="11">
        <v>0</v>
      </c>
      <c r="J205" s="11">
        <v>0</v>
      </c>
      <c r="K205" s="11">
        <v>0</v>
      </c>
      <c r="L205" s="11">
        <v>3865200</v>
      </c>
      <c r="M205" s="11">
        <v>3521200</v>
      </c>
      <c r="N205" s="11">
        <v>0</v>
      </c>
    </row>
    <row r="206" spans="1:14" x14ac:dyDescent="0.3">
      <c r="A206" s="10">
        <v>46020</v>
      </c>
      <c r="B206" t="s">
        <v>19</v>
      </c>
      <c r="C206" t="str">
        <f t="shared" si="10"/>
        <v>342856178206</v>
      </c>
      <c r="D206" t="str">
        <f t="shared" si="11"/>
        <v>Client206</v>
      </c>
      <c r="E206" t="str">
        <f t="shared" si="9"/>
        <v>BOB206</v>
      </c>
      <c r="F206" t="s">
        <v>24</v>
      </c>
      <c r="G206" s="11" t="s">
        <v>22</v>
      </c>
      <c r="H206" s="11">
        <v>0</v>
      </c>
      <c r="I206" s="11">
        <v>0</v>
      </c>
      <c r="J206" s="11">
        <v>0</v>
      </c>
      <c r="K206" s="11">
        <v>0</v>
      </c>
      <c r="L206" s="11">
        <v>10278900</v>
      </c>
      <c r="M206" s="11">
        <v>13430400</v>
      </c>
      <c r="N206" s="11">
        <v>0</v>
      </c>
    </row>
    <row r="207" spans="1:14" x14ac:dyDescent="0.3">
      <c r="A207" s="10">
        <v>46020</v>
      </c>
      <c r="B207" t="s">
        <v>19</v>
      </c>
      <c r="C207" t="str">
        <f t="shared" si="10"/>
        <v>342856178207</v>
      </c>
      <c r="D207" t="str">
        <f t="shared" si="11"/>
        <v>Client207</v>
      </c>
      <c r="E207" t="str">
        <f t="shared" si="9"/>
        <v>BOB207</v>
      </c>
      <c r="F207" t="s">
        <v>32</v>
      </c>
      <c r="G207" s="11" t="s">
        <v>22</v>
      </c>
      <c r="H207" s="11">
        <v>0</v>
      </c>
      <c r="I207" s="11">
        <v>0</v>
      </c>
      <c r="J207" s="11">
        <v>42880000</v>
      </c>
      <c r="K207" s="11">
        <v>3113000</v>
      </c>
      <c r="L207" s="11">
        <v>40436900</v>
      </c>
      <c r="M207" s="11">
        <v>0</v>
      </c>
      <c r="N207" s="11">
        <v>0</v>
      </c>
    </row>
    <row r="208" spans="1:14" x14ac:dyDescent="0.3">
      <c r="A208" s="10">
        <v>46020</v>
      </c>
      <c r="B208" t="s">
        <v>19</v>
      </c>
      <c r="C208" t="str">
        <f t="shared" si="10"/>
        <v>342856178208</v>
      </c>
      <c r="D208" t="str">
        <f t="shared" si="11"/>
        <v>Client208</v>
      </c>
      <c r="E208" t="str">
        <f t="shared" si="9"/>
        <v>BOB208</v>
      </c>
      <c r="F208" t="s">
        <v>32</v>
      </c>
      <c r="G208" s="11" t="s">
        <v>22</v>
      </c>
      <c r="H208" s="11">
        <v>0</v>
      </c>
      <c r="I208" s="11">
        <v>0</v>
      </c>
      <c r="J208" s="11">
        <v>0</v>
      </c>
      <c r="K208" s="11">
        <v>0</v>
      </c>
      <c r="L208" s="11">
        <v>0</v>
      </c>
      <c r="M208" s="11">
        <v>0</v>
      </c>
      <c r="N208" s="11">
        <v>0</v>
      </c>
    </row>
    <row r="209" spans="1:14" x14ac:dyDescent="0.3">
      <c r="A209" s="10">
        <v>46020</v>
      </c>
      <c r="B209" t="s">
        <v>19</v>
      </c>
      <c r="C209" t="str">
        <f t="shared" si="10"/>
        <v>342856178209</v>
      </c>
      <c r="D209" t="str">
        <f t="shared" si="11"/>
        <v>Client209</v>
      </c>
      <c r="E209" t="str">
        <f t="shared" si="9"/>
        <v>BOB209</v>
      </c>
      <c r="F209" t="s">
        <v>26</v>
      </c>
      <c r="G209" s="11" t="s">
        <v>27</v>
      </c>
      <c r="H209" s="11">
        <v>0</v>
      </c>
      <c r="I209" s="11">
        <v>0</v>
      </c>
      <c r="J209" s="11">
        <v>0</v>
      </c>
      <c r="K209" s="11">
        <v>0</v>
      </c>
      <c r="L209" s="11">
        <v>3751300</v>
      </c>
      <c r="M209" s="11">
        <v>3792100</v>
      </c>
      <c r="N209" s="11">
        <v>0</v>
      </c>
    </row>
    <row r="210" spans="1:14" x14ac:dyDescent="0.3">
      <c r="A210" s="10">
        <v>46020</v>
      </c>
      <c r="B210" t="s">
        <v>19</v>
      </c>
      <c r="C210" t="str">
        <f t="shared" si="10"/>
        <v>342856178210</v>
      </c>
      <c r="D210" t="str">
        <f t="shared" si="11"/>
        <v>Client210</v>
      </c>
      <c r="E210" t="str">
        <f t="shared" si="9"/>
        <v>BOB210</v>
      </c>
      <c r="F210" t="s">
        <v>32</v>
      </c>
      <c r="G210" s="11" t="s">
        <v>22</v>
      </c>
      <c r="H210" s="11">
        <v>0</v>
      </c>
      <c r="I210" s="11">
        <v>0</v>
      </c>
      <c r="J210" s="11">
        <v>0</v>
      </c>
      <c r="K210" s="11">
        <v>0</v>
      </c>
      <c r="L210" s="11">
        <v>15300</v>
      </c>
      <c r="M210" s="11">
        <v>10000</v>
      </c>
      <c r="N210" s="11">
        <v>0</v>
      </c>
    </row>
    <row r="211" spans="1:14" x14ac:dyDescent="0.3">
      <c r="A211" s="10">
        <v>46020</v>
      </c>
      <c r="B211" t="s">
        <v>19</v>
      </c>
      <c r="C211" t="str">
        <f t="shared" si="10"/>
        <v>342856178211</v>
      </c>
      <c r="D211" t="str">
        <f t="shared" si="11"/>
        <v>Client211</v>
      </c>
      <c r="E211" t="str">
        <f t="shared" si="9"/>
        <v>BOB211</v>
      </c>
      <c r="F211" t="s">
        <v>21</v>
      </c>
      <c r="G211" s="11" t="s">
        <v>22</v>
      </c>
      <c r="H211" s="11">
        <v>0</v>
      </c>
      <c r="I211" s="11">
        <v>0</v>
      </c>
      <c r="J211" s="11">
        <v>0</v>
      </c>
      <c r="K211" s="11">
        <v>0</v>
      </c>
      <c r="L211" s="11">
        <v>5000</v>
      </c>
      <c r="M211" s="11">
        <v>0</v>
      </c>
      <c r="N211" s="11">
        <v>0</v>
      </c>
    </row>
    <row r="212" spans="1:14" x14ac:dyDescent="0.3">
      <c r="A212" s="10">
        <v>46020</v>
      </c>
      <c r="B212" t="s">
        <v>19</v>
      </c>
      <c r="C212" t="str">
        <f t="shared" si="10"/>
        <v>342856178212</v>
      </c>
      <c r="D212" t="str">
        <f t="shared" si="11"/>
        <v>Client212</v>
      </c>
      <c r="E212" t="str">
        <f t="shared" si="9"/>
        <v>BOB212</v>
      </c>
      <c r="F212" t="s">
        <v>32</v>
      </c>
      <c r="G212" s="11" t="s">
        <v>22</v>
      </c>
      <c r="H212" s="11">
        <v>0</v>
      </c>
      <c r="I212" s="11">
        <v>0</v>
      </c>
      <c r="J212" s="11">
        <v>0</v>
      </c>
      <c r="K212" s="11">
        <v>0</v>
      </c>
      <c r="L212" s="11">
        <v>12204700</v>
      </c>
      <c r="M212" s="11">
        <v>15546000</v>
      </c>
      <c r="N212" s="11">
        <v>0</v>
      </c>
    </row>
    <row r="213" spans="1:14" x14ac:dyDescent="0.3">
      <c r="A213" s="10">
        <v>46020</v>
      </c>
      <c r="B213" t="s">
        <v>19</v>
      </c>
      <c r="C213" t="str">
        <f t="shared" si="10"/>
        <v>342856178213</v>
      </c>
      <c r="D213" t="str">
        <f t="shared" si="11"/>
        <v>Client213</v>
      </c>
      <c r="E213" t="str">
        <f t="shared" si="9"/>
        <v>BOB213</v>
      </c>
      <c r="F213" t="s">
        <v>21</v>
      </c>
      <c r="G213" s="11" t="s">
        <v>22</v>
      </c>
      <c r="H213" s="11">
        <v>0</v>
      </c>
      <c r="I213" s="11">
        <v>0</v>
      </c>
      <c r="J213" s="11">
        <v>0</v>
      </c>
      <c r="K213" s="11">
        <v>1001500</v>
      </c>
      <c r="L213" s="11">
        <v>4121300</v>
      </c>
      <c r="M213" s="11">
        <v>5124200</v>
      </c>
      <c r="N213" s="11">
        <v>0</v>
      </c>
    </row>
    <row r="214" spans="1:14" x14ac:dyDescent="0.3">
      <c r="A214" s="10">
        <v>46020</v>
      </c>
      <c r="B214" t="s">
        <v>19</v>
      </c>
      <c r="C214" t="str">
        <f t="shared" si="10"/>
        <v>342856178214</v>
      </c>
      <c r="D214" t="str">
        <f t="shared" si="11"/>
        <v>Client214</v>
      </c>
      <c r="E214" t="str">
        <f t="shared" si="9"/>
        <v>BOB214</v>
      </c>
      <c r="F214" t="s">
        <v>21</v>
      </c>
      <c r="G214" s="11" t="s">
        <v>22</v>
      </c>
      <c r="H214" s="11">
        <v>0</v>
      </c>
      <c r="I214" s="11">
        <v>0</v>
      </c>
      <c r="J214" s="11">
        <v>0</v>
      </c>
      <c r="K214" s="11">
        <v>0</v>
      </c>
      <c r="L214" s="11">
        <v>6189100</v>
      </c>
      <c r="M214" s="11">
        <v>6907200</v>
      </c>
      <c r="N214" s="11">
        <v>0</v>
      </c>
    </row>
    <row r="215" spans="1:14" x14ac:dyDescent="0.3">
      <c r="A215" s="10">
        <v>46020</v>
      </c>
      <c r="B215" t="s">
        <v>19</v>
      </c>
      <c r="C215" t="str">
        <f t="shared" si="10"/>
        <v>342856178215</v>
      </c>
      <c r="D215" t="str">
        <f t="shared" si="11"/>
        <v>Client215</v>
      </c>
      <c r="E215" t="str">
        <f t="shared" si="9"/>
        <v>BOB215</v>
      </c>
      <c r="F215" t="s">
        <v>26</v>
      </c>
      <c r="G215" s="11" t="s">
        <v>27</v>
      </c>
      <c r="H215" s="11">
        <v>0</v>
      </c>
      <c r="I215" s="11">
        <v>0</v>
      </c>
      <c r="J215" s="11">
        <v>1400000</v>
      </c>
      <c r="K215" s="11">
        <v>1001000</v>
      </c>
      <c r="L215" s="11">
        <v>9049500</v>
      </c>
      <c r="M215" s="11">
        <v>8671400</v>
      </c>
      <c r="N215" s="11">
        <v>0</v>
      </c>
    </row>
    <row r="216" spans="1:14" x14ac:dyDescent="0.3">
      <c r="A216" s="10">
        <v>46020</v>
      </c>
      <c r="B216" t="s">
        <v>19</v>
      </c>
      <c r="C216" t="str">
        <f t="shared" si="10"/>
        <v>342856178216</v>
      </c>
      <c r="D216" t="str">
        <f t="shared" si="11"/>
        <v>Client216</v>
      </c>
      <c r="E216" t="str">
        <f t="shared" si="9"/>
        <v>BOB216</v>
      </c>
      <c r="F216" t="s">
        <v>21</v>
      </c>
      <c r="G216" s="11" t="s">
        <v>22</v>
      </c>
      <c r="H216" s="11">
        <v>0</v>
      </c>
      <c r="I216" s="11">
        <v>0</v>
      </c>
      <c r="J216" s="11">
        <v>0</v>
      </c>
      <c r="K216" s="11">
        <v>0</v>
      </c>
      <c r="L216" s="11">
        <v>11000600</v>
      </c>
      <c r="M216" s="11">
        <v>11946400</v>
      </c>
      <c r="N216" s="11">
        <v>0</v>
      </c>
    </row>
    <row r="217" spans="1:14" x14ac:dyDescent="0.3">
      <c r="A217" s="10">
        <v>46020</v>
      </c>
      <c r="B217" t="s">
        <v>19</v>
      </c>
      <c r="C217" t="str">
        <f t="shared" si="10"/>
        <v>342856178217</v>
      </c>
      <c r="D217" t="str">
        <f t="shared" si="11"/>
        <v>Client217</v>
      </c>
      <c r="E217" t="str">
        <f t="shared" si="9"/>
        <v>BOB217</v>
      </c>
      <c r="G217" s="11"/>
      <c r="H217" s="11">
        <v>0</v>
      </c>
      <c r="I217" s="11">
        <v>0</v>
      </c>
      <c r="J217" s="11">
        <v>0</v>
      </c>
      <c r="K217" s="11">
        <v>0</v>
      </c>
      <c r="L217" s="11">
        <v>0</v>
      </c>
      <c r="M217" s="11">
        <v>0</v>
      </c>
      <c r="N217" s="11">
        <v>0</v>
      </c>
    </row>
    <row r="218" spans="1:14" x14ac:dyDescent="0.3">
      <c r="A218" s="10">
        <v>46020</v>
      </c>
      <c r="B218" t="s">
        <v>19</v>
      </c>
      <c r="C218" t="str">
        <f t="shared" si="10"/>
        <v>342856178218</v>
      </c>
      <c r="D218" t="str">
        <f t="shared" si="11"/>
        <v>Client218</v>
      </c>
      <c r="E218" t="str">
        <f t="shared" si="9"/>
        <v>BOB218</v>
      </c>
      <c r="F218" t="s">
        <v>81</v>
      </c>
      <c r="G218" s="11" t="s">
        <v>85</v>
      </c>
      <c r="H218" s="11">
        <v>0</v>
      </c>
      <c r="I218" s="11">
        <v>0</v>
      </c>
      <c r="J218" s="11">
        <v>0</v>
      </c>
      <c r="K218" s="11">
        <v>4400000</v>
      </c>
      <c r="L218" s="11">
        <v>3415400</v>
      </c>
      <c r="M218" s="11">
        <v>6453000</v>
      </c>
      <c r="N218" s="11">
        <v>0</v>
      </c>
    </row>
    <row r="219" spans="1:14" x14ac:dyDescent="0.3">
      <c r="A219" s="10">
        <v>46020</v>
      </c>
      <c r="B219" t="s">
        <v>19</v>
      </c>
      <c r="C219" t="str">
        <f t="shared" si="10"/>
        <v>342856178219</v>
      </c>
      <c r="D219" t="str">
        <f t="shared" si="11"/>
        <v>Client219</v>
      </c>
      <c r="E219" t="str">
        <f t="shared" si="9"/>
        <v>BOB219</v>
      </c>
      <c r="F219" t="s">
        <v>32</v>
      </c>
      <c r="G219" s="11" t="s">
        <v>22</v>
      </c>
      <c r="H219" s="11">
        <v>0</v>
      </c>
      <c r="I219" s="11">
        <v>0</v>
      </c>
      <c r="J219" s="11">
        <v>0</v>
      </c>
      <c r="K219" s="11">
        <v>0</v>
      </c>
      <c r="L219" s="11">
        <v>2469500</v>
      </c>
      <c r="M219" s="11">
        <v>2312800</v>
      </c>
      <c r="N219" s="11">
        <v>0</v>
      </c>
    </row>
    <row r="220" spans="1:14" x14ac:dyDescent="0.3">
      <c r="A220" s="10">
        <v>46020</v>
      </c>
      <c r="B220" t="s">
        <v>19</v>
      </c>
      <c r="C220" t="str">
        <f t="shared" si="10"/>
        <v>342856178220</v>
      </c>
      <c r="D220" t="str">
        <f t="shared" si="11"/>
        <v>Client220</v>
      </c>
      <c r="E220" t="str">
        <f t="shared" si="9"/>
        <v>BOB220</v>
      </c>
      <c r="F220" t="s">
        <v>32</v>
      </c>
      <c r="G220" s="11" t="s">
        <v>22</v>
      </c>
      <c r="H220" s="11">
        <v>0</v>
      </c>
      <c r="I220" s="11">
        <v>0</v>
      </c>
      <c r="J220" s="11">
        <v>2403000</v>
      </c>
      <c r="K220" s="11">
        <v>6190000</v>
      </c>
      <c r="L220" s="11">
        <v>7806700</v>
      </c>
      <c r="M220" s="11">
        <v>12389700</v>
      </c>
      <c r="N220" s="11">
        <v>0</v>
      </c>
    </row>
    <row r="221" spans="1:14" x14ac:dyDescent="0.3">
      <c r="A221" s="10">
        <v>46020</v>
      </c>
      <c r="B221" t="s">
        <v>19</v>
      </c>
      <c r="C221" t="str">
        <f t="shared" si="10"/>
        <v>342856178221</v>
      </c>
      <c r="D221" t="str">
        <f t="shared" si="11"/>
        <v>Client221</v>
      </c>
      <c r="E221" t="str">
        <f t="shared" si="9"/>
        <v>BOB221</v>
      </c>
      <c r="F221" t="s">
        <v>24</v>
      </c>
      <c r="G221" s="11" t="s">
        <v>86</v>
      </c>
      <c r="H221" s="11">
        <v>0</v>
      </c>
      <c r="I221" s="11">
        <v>0</v>
      </c>
      <c r="J221" s="11">
        <v>0</v>
      </c>
      <c r="K221" s="11">
        <v>0</v>
      </c>
      <c r="L221" s="11">
        <v>9848900</v>
      </c>
      <c r="M221" s="11">
        <v>10606100</v>
      </c>
      <c r="N221" s="11">
        <v>0</v>
      </c>
    </row>
    <row r="222" spans="1:14" x14ac:dyDescent="0.3">
      <c r="A222" s="10">
        <v>46020</v>
      </c>
      <c r="B222" t="s">
        <v>19</v>
      </c>
      <c r="C222" t="str">
        <f t="shared" si="10"/>
        <v>342856178222</v>
      </c>
      <c r="D222" t="str">
        <f t="shared" si="11"/>
        <v>Client222</v>
      </c>
      <c r="E222" t="str">
        <f t="shared" si="9"/>
        <v>BOB222</v>
      </c>
      <c r="F222" t="s">
        <v>30</v>
      </c>
      <c r="G222" s="11" t="s">
        <v>84</v>
      </c>
      <c r="H222" s="11">
        <v>0</v>
      </c>
      <c r="I222" s="11">
        <v>0</v>
      </c>
      <c r="J222" s="11">
        <v>0</v>
      </c>
      <c r="K222" s="11">
        <v>4550000</v>
      </c>
      <c r="L222" s="11">
        <v>2599500</v>
      </c>
      <c r="M222" s="11">
        <v>8145100</v>
      </c>
      <c r="N222" s="11">
        <v>0</v>
      </c>
    </row>
    <row r="223" spans="1:14" x14ac:dyDescent="0.3">
      <c r="A223" s="10">
        <v>46020</v>
      </c>
      <c r="B223" t="s">
        <v>19</v>
      </c>
      <c r="C223" t="str">
        <f t="shared" si="10"/>
        <v>342856178223</v>
      </c>
      <c r="D223" t="str">
        <f t="shared" si="11"/>
        <v>Client223</v>
      </c>
      <c r="E223" t="str">
        <f t="shared" si="9"/>
        <v>BOB223</v>
      </c>
      <c r="G223" s="11"/>
      <c r="H223" s="11">
        <v>0</v>
      </c>
      <c r="I223" s="11">
        <v>0</v>
      </c>
      <c r="J223" s="11">
        <v>0</v>
      </c>
      <c r="K223" s="11">
        <v>0</v>
      </c>
      <c r="L223" s="11">
        <v>0</v>
      </c>
      <c r="M223" s="11">
        <v>0</v>
      </c>
      <c r="N223" s="11">
        <v>0</v>
      </c>
    </row>
    <row r="224" spans="1:14" x14ac:dyDescent="0.3">
      <c r="A224" s="10">
        <v>46020</v>
      </c>
      <c r="B224" t="s">
        <v>19</v>
      </c>
      <c r="C224" t="str">
        <f t="shared" si="10"/>
        <v>342856178224</v>
      </c>
      <c r="D224" t="str">
        <f t="shared" si="11"/>
        <v>Client224</v>
      </c>
      <c r="E224" t="str">
        <f t="shared" si="9"/>
        <v>BOB224</v>
      </c>
      <c r="F224" t="s">
        <v>26</v>
      </c>
      <c r="G224" s="11" t="s">
        <v>27</v>
      </c>
      <c r="H224" s="11">
        <v>0</v>
      </c>
      <c r="I224" s="11">
        <v>0</v>
      </c>
      <c r="J224" s="11">
        <v>0</v>
      </c>
      <c r="K224" s="11">
        <v>0</v>
      </c>
      <c r="L224" s="11">
        <v>3526700</v>
      </c>
      <c r="M224" s="11">
        <v>3544300</v>
      </c>
      <c r="N224" s="11">
        <v>0</v>
      </c>
    </row>
    <row r="225" spans="1:14" x14ac:dyDescent="0.3">
      <c r="A225" s="10">
        <v>46020</v>
      </c>
      <c r="B225" t="s">
        <v>19</v>
      </c>
      <c r="C225" t="str">
        <f t="shared" si="10"/>
        <v>342856178225</v>
      </c>
      <c r="D225" t="str">
        <f t="shared" si="11"/>
        <v>Client225</v>
      </c>
      <c r="E225" t="str">
        <f t="shared" si="9"/>
        <v>BOB225</v>
      </c>
      <c r="F225" t="s">
        <v>32</v>
      </c>
      <c r="G225" s="11" t="s">
        <v>22</v>
      </c>
      <c r="H225" s="11">
        <v>0</v>
      </c>
      <c r="I225" s="11">
        <v>0</v>
      </c>
      <c r="J225" s="11">
        <v>3500000</v>
      </c>
      <c r="K225" s="11">
        <v>2020000</v>
      </c>
      <c r="L225" s="11">
        <v>7979900</v>
      </c>
      <c r="M225" s="11">
        <v>6662200</v>
      </c>
      <c r="N225" s="11">
        <v>0</v>
      </c>
    </row>
    <row r="226" spans="1:14" x14ac:dyDescent="0.3">
      <c r="A226" s="10">
        <v>46020</v>
      </c>
      <c r="B226" t="s">
        <v>19</v>
      </c>
      <c r="C226" t="str">
        <f t="shared" si="10"/>
        <v>342856178226</v>
      </c>
      <c r="D226" t="str">
        <f t="shared" si="11"/>
        <v>Client226</v>
      </c>
      <c r="E226" t="str">
        <f t="shared" si="9"/>
        <v>BOB226</v>
      </c>
      <c r="F226" t="s">
        <v>32</v>
      </c>
      <c r="G226" s="11" t="s">
        <v>22</v>
      </c>
      <c r="H226" s="11">
        <v>0</v>
      </c>
      <c r="I226" s="11">
        <v>0</v>
      </c>
      <c r="J226" s="11">
        <v>300000</v>
      </c>
      <c r="K226" s="11">
        <v>0</v>
      </c>
      <c r="L226" s="11">
        <v>345600</v>
      </c>
      <c r="M226" s="11">
        <v>45000</v>
      </c>
      <c r="N226" s="11">
        <v>0</v>
      </c>
    </row>
    <row r="227" spans="1:14" x14ac:dyDescent="0.3">
      <c r="A227" s="10">
        <v>46020</v>
      </c>
      <c r="B227" t="s">
        <v>19</v>
      </c>
      <c r="C227" t="str">
        <f t="shared" si="10"/>
        <v>342856178227</v>
      </c>
      <c r="D227" t="str">
        <f t="shared" si="11"/>
        <v>Client227</v>
      </c>
      <c r="E227" t="str">
        <f t="shared" si="9"/>
        <v>BOB227</v>
      </c>
      <c r="F227" t="s">
        <v>26</v>
      </c>
      <c r="G227" s="11" t="s">
        <v>27</v>
      </c>
      <c r="H227" s="11">
        <v>0</v>
      </c>
      <c r="I227" s="11">
        <v>0</v>
      </c>
      <c r="J227" s="11">
        <v>0</v>
      </c>
      <c r="K227" s="11">
        <v>0</v>
      </c>
      <c r="L227" s="11">
        <v>38389000</v>
      </c>
      <c r="M227" s="11">
        <v>38791600</v>
      </c>
      <c r="N227" s="11">
        <v>0</v>
      </c>
    </row>
    <row r="228" spans="1:14" x14ac:dyDescent="0.3">
      <c r="A228" s="10">
        <v>46020</v>
      </c>
      <c r="B228" t="s">
        <v>19</v>
      </c>
      <c r="C228" t="str">
        <f t="shared" si="10"/>
        <v>342856178228</v>
      </c>
      <c r="D228" t="str">
        <f t="shared" si="11"/>
        <v>Client228</v>
      </c>
      <c r="E228" t="str">
        <f t="shared" si="9"/>
        <v>BOB228</v>
      </c>
      <c r="F228" t="s">
        <v>21</v>
      </c>
      <c r="G228" s="11" t="s">
        <v>22</v>
      </c>
      <c r="H228" s="11">
        <v>0</v>
      </c>
      <c r="I228" s="11">
        <v>168415200</v>
      </c>
      <c r="J228" s="11">
        <v>143642500</v>
      </c>
      <c r="K228" s="11">
        <v>5500000</v>
      </c>
      <c r="L228" s="11">
        <v>693600</v>
      </c>
      <c r="M228" s="11">
        <v>13172000</v>
      </c>
      <c r="N228" s="11">
        <v>0</v>
      </c>
    </row>
    <row r="229" spans="1:14" x14ac:dyDescent="0.3">
      <c r="A229" s="10">
        <v>46020</v>
      </c>
      <c r="B229" t="s">
        <v>19</v>
      </c>
      <c r="C229" t="str">
        <f t="shared" si="10"/>
        <v>342856178229</v>
      </c>
      <c r="D229" t="str">
        <f t="shared" si="11"/>
        <v>Client229</v>
      </c>
      <c r="E229" t="str">
        <f t="shared" si="9"/>
        <v>BOB229</v>
      </c>
      <c r="F229" t="s">
        <v>30</v>
      </c>
      <c r="G229" s="11" t="s">
        <v>87</v>
      </c>
      <c r="H229" s="11">
        <v>0</v>
      </c>
      <c r="I229" s="11">
        <v>0</v>
      </c>
      <c r="J229" s="11">
        <v>0</v>
      </c>
      <c r="K229" s="11">
        <v>1865000</v>
      </c>
      <c r="L229" s="11">
        <v>1034700</v>
      </c>
      <c r="M229" s="11">
        <v>2430000</v>
      </c>
      <c r="N229" s="11">
        <v>0</v>
      </c>
    </row>
    <row r="230" spans="1:14" x14ac:dyDescent="0.3">
      <c r="A230" s="10">
        <v>46020</v>
      </c>
      <c r="B230" t="s">
        <v>19</v>
      </c>
      <c r="C230" t="str">
        <f t="shared" si="10"/>
        <v>342856178230</v>
      </c>
      <c r="D230" t="str">
        <f t="shared" si="11"/>
        <v>Client230</v>
      </c>
      <c r="E230" t="str">
        <f t="shared" si="9"/>
        <v>BOB230</v>
      </c>
      <c r="F230" t="s">
        <v>24</v>
      </c>
      <c r="G230" s="11" t="s">
        <v>22</v>
      </c>
      <c r="H230" s="11">
        <v>0</v>
      </c>
      <c r="I230" s="11">
        <v>0</v>
      </c>
      <c r="J230" s="11">
        <v>0</v>
      </c>
      <c r="K230" s="11">
        <v>0</v>
      </c>
      <c r="L230" s="11">
        <v>2974500</v>
      </c>
      <c r="M230" s="11">
        <v>3645000</v>
      </c>
      <c r="N230" s="11">
        <v>0</v>
      </c>
    </row>
    <row r="231" spans="1:14" x14ac:dyDescent="0.3">
      <c r="A231" s="10">
        <v>46020</v>
      </c>
      <c r="B231" t="s">
        <v>19</v>
      </c>
      <c r="C231" t="str">
        <f t="shared" si="10"/>
        <v>342856178231</v>
      </c>
      <c r="D231" t="str">
        <f t="shared" si="11"/>
        <v>Client231</v>
      </c>
      <c r="E231" t="str">
        <f t="shared" si="9"/>
        <v>BOB231</v>
      </c>
      <c r="F231" t="s">
        <v>21</v>
      </c>
      <c r="G231" s="11" t="s">
        <v>22</v>
      </c>
      <c r="H231" s="11">
        <v>0</v>
      </c>
      <c r="I231" s="11">
        <v>0</v>
      </c>
      <c r="J231" s="11">
        <v>0</v>
      </c>
      <c r="K231" s="11">
        <v>500000</v>
      </c>
      <c r="L231" s="11">
        <v>3737300</v>
      </c>
      <c r="M231" s="11">
        <v>4662800</v>
      </c>
      <c r="N231" s="11">
        <v>0</v>
      </c>
    </row>
    <row r="232" spans="1:14" x14ac:dyDescent="0.3">
      <c r="A232" s="10">
        <v>46020</v>
      </c>
      <c r="B232" t="s">
        <v>19</v>
      </c>
      <c r="C232" t="str">
        <f t="shared" si="10"/>
        <v>342856178232</v>
      </c>
      <c r="D232" t="str">
        <f t="shared" si="11"/>
        <v>Client232</v>
      </c>
      <c r="E232" t="str">
        <f t="shared" si="9"/>
        <v>BOB232</v>
      </c>
      <c r="F232" t="s">
        <v>32</v>
      </c>
      <c r="G232" s="11" t="s">
        <v>22</v>
      </c>
      <c r="H232" s="11">
        <v>0</v>
      </c>
      <c r="I232" s="11">
        <v>0</v>
      </c>
      <c r="J232" s="11">
        <v>900000</v>
      </c>
      <c r="K232" s="11">
        <v>801000</v>
      </c>
      <c r="L232" s="11">
        <v>6037500</v>
      </c>
      <c r="M232" s="11">
        <v>6404900</v>
      </c>
      <c r="N232" s="11">
        <v>0</v>
      </c>
    </row>
    <row r="233" spans="1:14" x14ac:dyDescent="0.3">
      <c r="A233" s="10">
        <v>46020</v>
      </c>
      <c r="B233" t="s">
        <v>19</v>
      </c>
      <c r="C233" t="str">
        <f t="shared" si="10"/>
        <v>342856178233</v>
      </c>
      <c r="D233" t="str">
        <f t="shared" si="11"/>
        <v>Client233</v>
      </c>
      <c r="E233" t="str">
        <f t="shared" si="9"/>
        <v>BOB233</v>
      </c>
      <c r="F233" t="s">
        <v>26</v>
      </c>
      <c r="G233" s="11" t="s">
        <v>27</v>
      </c>
      <c r="H233" s="11">
        <v>0</v>
      </c>
      <c r="I233" s="11">
        <v>0</v>
      </c>
      <c r="J233" s="11">
        <v>0</v>
      </c>
      <c r="K233" s="11">
        <v>9009000</v>
      </c>
      <c r="L233" s="11">
        <v>20321700</v>
      </c>
      <c r="M233" s="11">
        <v>32109800</v>
      </c>
      <c r="N233" s="11">
        <v>0</v>
      </c>
    </row>
    <row r="234" spans="1:14" x14ac:dyDescent="0.3">
      <c r="A234" s="10">
        <v>46020</v>
      </c>
      <c r="B234" t="s">
        <v>19</v>
      </c>
      <c r="C234" t="str">
        <f t="shared" si="10"/>
        <v>342856178234</v>
      </c>
      <c r="D234" t="str">
        <f t="shared" si="11"/>
        <v>Client234</v>
      </c>
      <c r="E234" t="str">
        <f t="shared" si="9"/>
        <v>BOB234</v>
      </c>
      <c r="F234" t="s">
        <v>26</v>
      </c>
      <c r="G234" s="11" t="s">
        <v>27</v>
      </c>
      <c r="H234" s="11">
        <v>0</v>
      </c>
      <c r="I234" s="11">
        <v>0</v>
      </c>
      <c r="J234" s="11">
        <v>0</v>
      </c>
      <c r="K234" s="11">
        <v>2802800</v>
      </c>
      <c r="L234" s="11">
        <v>13321200</v>
      </c>
      <c r="M234" s="11">
        <v>15104500</v>
      </c>
      <c r="N234" s="11">
        <v>0</v>
      </c>
    </row>
    <row r="235" spans="1:14" x14ac:dyDescent="0.3">
      <c r="A235" s="10">
        <v>46020</v>
      </c>
      <c r="B235" t="s">
        <v>19</v>
      </c>
      <c r="C235" t="str">
        <f t="shared" si="10"/>
        <v>342856178235</v>
      </c>
      <c r="D235" t="str">
        <f t="shared" si="11"/>
        <v>Client235</v>
      </c>
      <c r="E235" t="str">
        <f t="shared" si="9"/>
        <v>BOB235</v>
      </c>
      <c r="F235" t="s">
        <v>26</v>
      </c>
      <c r="G235" s="11" t="s">
        <v>27</v>
      </c>
      <c r="H235" s="11">
        <v>0</v>
      </c>
      <c r="I235" s="11">
        <v>0</v>
      </c>
      <c r="J235" s="11">
        <v>0</v>
      </c>
      <c r="K235" s="11">
        <v>0</v>
      </c>
      <c r="L235" s="11">
        <v>14343000</v>
      </c>
      <c r="M235" s="11">
        <v>15082300</v>
      </c>
      <c r="N235" s="11">
        <v>0</v>
      </c>
    </row>
    <row r="236" spans="1:14" x14ac:dyDescent="0.3">
      <c r="A236" s="10">
        <v>46020</v>
      </c>
      <c r="B236" t="s">
        <v>19</v>
      </c>
      <c r="C236" t="str">
        <f t="shared" si="10"/>
        <v>342856178236</v>
      </c>
      <c r="D236" t="str">
        <f t="shared" si="11"/>
        <v>Client236</v>
      </c>
      <c r="E236" t="str">
        <f t="shared" si="9"/>
        <v>BOB236</v>
      </c>
      <c r="F236" t="s">
        <v>32</v>
      </c>
      <c r="G236" s="11" t="s">
        <v>22</v>
      </c>
      <c r="H236" s="11">
        <v>0</v>
      </c>
      <c r="I236" s="11">
        <v>2003000</v>
      </c>
      <c r="J236" s="11">
        <v>3100000</v>
      </c>
      <c r="K236" s="11">
        <v>0</v>
      </c>
      <c r="L236" s="11">
        <v>12230600</v>
      </c>
      <c r="M236" s="11">
        <v>9498400</v>
      </c>
      <c r="N236" s="11">
        <v>0</v>
      </c>
    </row>
    <row r="237" spans="1:14" x14ac:dyDescent="0.3">
      <c r="A237" s="10">
        <v>46020</v>
      </c>
      <c r="B237" t="s">
        <v>19</v>
      </c>
      <c r="C237" t="str">
        <f t="shared" si="10"/>
        <v>342856178237</v>
      </c>
      <c r="D237" t="str">
        <f t="shared" si="11"/>
        <v>Client237</v>
      </c>
      <c r="E237" t="str">
        <f t="shared" si="9"/>
        <v>BOB237</v>
      </c>
      <c r="F237" t="s">
        <v>21</v>
      </c>
      <c r="G237" s="11" t="s">
        <v>22</v>
      </c>
      <c r="H237" s="11">
        <v>0</v>
      </c>
      <c r="I237" s="11">
        <v>0</v>
      </c>
      <c r="J237" s="11">
        <v>0</v>
      </c>
      <c r="K237" s="11">
        <v>0</v>
      </c>
      <c r="L237" s="11">
        <v>7678200</v>
      </c>
      <c r="M237" s="11">
        <v>7877600</v>
      </c>
      <c r="N237" s="11">
        <v>0</v>
      </c>
    </row>
    <row r="238" spans="1:14" x14ac:dyDescent="0.3">
      <c r="A238" s="10">
        <v>46020</v>
      </c>
      <c r="B238" t="s">
        <v>19</v>
      </c>
      <c r="C238" t="str">
        <f t="shared" si="10"/>
        <v>342856178238</v>
      </c>
      <c r="D238" t="str">
        <f t="shared" si="11"/>
        <v>Client238</v>
      </c>
      <c r="E238" t="str">
        <f t="shared" si="9"/>
        <v>BOB238</v>
      </c>
      <c r="F238" t="s">
        <v>30</v>
      </c>
      <c r="G238" s="11" t="s">
        <v>76</v>
      </c>
      <c r="H238" s="11">
        <v>0</v>
      </c>
      <c r="I238" s="11">
        <v>0</v>
      </c>
      <c r="J238" s="11">
        <v>0</v>
      </c>
      <c r="K238" s="11">
        <v>0</v>
      </c>
      <c r="L238" s="11">
        <v>1870200</v>
      </c>
      <c r="M238" s="11">
        <v>560500</v>
      </c>
      <c r="N238" s="11">
        <v>0</v>
      </c>
    </row>
    <row r="239" spans="1:14" x14ac:dyDescent="0.3">
      <c r="A239" s="10">
        <v>46020</v>
      </c>
      <c r="B239" t="s">
        <v>19</v>
      </c>
      <c r="C239" t="str">
        <f t="shared" si="10"/>
        <v>342856178239</v>
      </c>
      <c r="D239" t="str">
        <f t="shared" si="11"/>
        <v>Client239</v>
      </c>
      <c r="E239" t="str">
        <f t="shared" si="9"/>
        <v>BOB239</v>
      </c>
      <c r="F239" t="s">
        <v>26</v>
      </c>
      <c r="G239" s="11" t="s">
        <v>27</v>
      </c>
      <c r="H239" s="11">
        <v>0</v>
      </c>
      <c r="I239" s="11">
        <v>0</v>
      </c>
      <c r="J239" s="11">
        <v>0</v>
      </c>
      <c r="K239" s="11">
        <v>2002000</v>
      </c>
      <c r="L239" s="11">
        <v>3644500</v>
      </c>
      <c r="M239" s="11">
        <v>4616900</v>
      </c>
      <c r="N239" s="11">
        <v>0</v>
      </c>
    </row>
    <row r="240" spans="1:14" x14ac:dyDescent="0.3">
      <c r="A240" s="10">
        <v>46020</v>
      </c>
      <c r="B240" t="s">
        <v>19</v>
      </c>
      <c r="C240" t="str">
        <f t="shared" si="10"/>
        <v>342856178240</v>
      </c>
      <c r="D240" t="str">
        <f t="shared" si="11"/>
        <v>Client240</v>
      </c>
      <c r="E240" t="str">
        <f t="shared" si="9"/>
        <v>BOB240</v>
      </c>
      <c r="F240" t="s">
        <v>32</v>
      </c>
      <c r="G240" s="11" t="s">
        <v>22</v>
      </c>
      <c r="H240" s="11">
        <v>0</v>
      </c>
      <c r="I240" s="11">
        <v>0</v>
      </c>
      <c r="J240" s="11">
        <v>0</v>
      </c>
      <c r="K240" s="11">
        <v>0</v>
      </c>
      <c r="L240" s="11">
        <v>0</v>
      </c>
      <c r="M240" s="11">
        <v>0</v>
      </c>
      <c r="N240" s="11">
        <v>0</v>
      </c>
    </row>
    <row r="241" spans="1:14" x14ac:dyDescent="0.3">
      <c r="A241" s="10">
        <v>46020</v>
      </c>
      <c r="B241" t="s">
        <v>19</v>
      </c>
      <c r="C241" t="str">
        <f t="shared" si="10"/>
        <v>342856178241</v>
      </c>
      <c r="D241" t="str">
        <f t="shared" si="11"/>
        <v>Client241</v>
      </c>
      <c r="E241" t="str">
        <f t="shared" si="9"/>
        <v>BOB241</v>
      </c>
      <c r="F241" t="s">
        <v>26</v>
      </c>
      <c r="G241" s="11" t="s">
        <v>27</v>
      </c>
      <c r="H241" s="11">
        <v>0</v>
      </c>
      <c r="I241" s="11">
        <v>0</v>
      </c>
      <c r="J241" s="11">
        <v>0</v>
      </c>
      <c r="K241" s="11">
        <v>0</v>
      </c>
      <c r="L241" s="11">
        <v>4018100</v>
      </c>
      <c r="M241" s="11">
        <v>4682100</v>
      </c>
      <c r="N241" s="11">
        <v>0</v>
      </c>
    </row>
    <row r="242" spans="1:14" x14ac:dyDescent="0.3">
      <c r="A242" s="10">
        <v>46020</v>
      </c>
      <c r="B242" t="s">
        <v>19</v>
      </c>
      <c r="C242" t="str">
        <f t="shared" si="10"/>
        <v>342856178242</v>
      </c>
      <c r="D242" t="str">
        <f t="shared" si="11"/>
        <v>Client242</v>
      </c>
      <c r="E242" t="str">
        <f t="shared" si="9"/>
        <v>BOB242</v>
      </c>
      <c r="F242" t="s">
        <v>32</v>
      </c>
      <c r="G242" s="11" t="s">
        <v>22</v>
      </c>
      <c r="H242" s="11">
        <v>0</v>
      </c>
      <c r="I242" s="11">
        <v>6078000</v>
      </c>
      <c r="J242" s="11">
        <v>0</v>
      </c>
      <c r="K242" s="11">
        <v>0</v>
      </c>
      <c r="L242" s="11">
        <v>19813400</v>
      </c>
      <c r="M242" s="11">
        <v>25404500</v>
      </c>
      <c r="N242" s="11">
        <v>3000000</v>
      </c>
    </row>
    <row r="243" spans="1:14" x14ac:dyDescent="0.3">
      <c r="A243" s="10">
        <v>46020</v>
      </c>
      <c r="B243" t="s">
        <v>19</v>
      </c>
      <c r="C243" t="str">
        <f t="shared" si="10"/>
        <v>342856178243</v>
      </c>
      <c r="D243" t="str">
        <f t="shared" si="11"/>
        <v>Client243</v>
      </c>
      <c r="E243" t="str">
        <f t="shared" si="9"/>
        <v>BOB243</v>
      </c>
      <c r="F243" t="s">
        <v>24</v>
      </c>
      <c r="G243" s="11" t="s">
        <v>22</v>
      </c>
      <c r="H243" s="11">
        <v>0</v>
      </c>
      <c r="I243" s="11">
        <v>0</v>
      </c>
      <c r="J243" s="11">
        <v>0</v>
      </c>
      <c r="K243" s="11">
        <v>2003000</v>
      </c>
      <c r="L243" s="11">
        <v>13164700</v>
      </c>
      <c r="M243" s="11">
        <v>11740500</v>
      </c>
      <c r="N243" s="11">
        <v>0</v>
      </c>
    </row>
    <row r="244" spans="1:14" x14ac:dyDescent="0.3">
      <c r="A244" s="10">
        <v>46020</v>
      </c>
      <c r="B244" t="s">
        <v>19</v>
      </c>
      <c r="C244" t="str">
        <f t="shared" si="10"/>
        <v>342856178244</v>
      </c>
      <c r="D244" t="str">
        <f t="shared" si="11"/>
        <v>Client244</v>
      </c>
      <c r="E244" t="str">
        <f t="shared" si="9"/>
        <v>BOB244</v>
      </c>
      <c r="F244" t="s">
        <v>24</v>
      </c>
      <c r="G244" s="11" t="s">
        <v>22</v>
      </c>
      <c r="H244" s="11">
        <v>0</v>
      </c>
      <c r="I244" s="11">
        <v>0</v>
      </c>
      <c r="J244" s="11">
        <v>0</v>
      </c>
      <c r="K244" s="11">
        <v>0</v>
      </c>
      <c r="L244" s="11">
        <v>3980600</v>
      </c>
      <c r="M244" s="11">
        <v>4526600</v>
      </c>
      <c r="N244" s="11">
        <v>0</v>
      </c>
    </row>
    <row r="245" spans="1:14" x14ac:dyDescent="0.3">
      <c r="A245" s="10">
        <v>46020</v>
      </c>
      <c r="B245" t="s">
        <v>19</v>
      </c>
      <c r="C245" t="str">
        <f t="shared" si="10"/>
        <v>342856178245</v>
      </c>
      <c r="D245" t="str">
        <f t="shared" si="11"/>
        <v>Client245</v>
      </c>
      <c r="E245" t="str">
        <f t="shared" si="9"/>
        <v>BOB245</v>
      </c>
      <c r="F245" t="s">
        <v>21</v>
      </c>
      <c r="G245" s="11" t="s">
        <v>22</v>
      </c>
      <c r="H245" s="11">
        <v>0</v>
      </c>
      <c r="I245" s="11">
        <v>0</v>
      </c>
      <c r="J245" s="11">
        <v>0</v>
      </c>
      <c r="K245" s="11">
        <v>1800000</v>
      </c>
      <c r="L245" s="11">
        <v>40910400</v>
      </c>
      <c r="M245" s="11">
        <v>43794400</v>
      </c>
      <c r="N245" s="11">
        <v>0</v>
      </c>
    </row>
    <row r="246" spans="1:14" x14ac:dyDescent="0.3">
      <c r="A246" s="10">
        <v>46020</v>
      </c>
      <c r="B246" t="s">
        <v>19</v>
      </c>
      <c r="C246" t="str">
        <f t="shared" si="10"/>
        <v>342856178246</v>
      </c>
      <c r="D246" t="str">
        <f t="shared" si="11"/>
        <v>Client246</v>
      </c>
      <c r="E246" t="str">
        <f t="shared" si="9"/>
        <v>BOB246</v>
      </c>
      <c r="F246" t="s">
        <v>32</v>
      </c>
      <c r="G246" s="11" t="s">
        <v>22</v>
      </c>
      <c r="H246" s="11">
        <v>0</v>
      </c>
      <c r="I246" s="11">
        <v>0</v>
      </c>
      <c r="J246" s="11">
        <v>0</v>
      </c>
      <c r="K246" s="11">
        <v>0</v>
      </c>
      <c r="L246" s="11">
        <v>1742700</v>
      </c>
      <c r="M246" s="11">
        <v>2273000</v>
      </c>
      <c r="N246" s="11">
        <v>0</v>
      </c>
    </row>
    <row r="247" spans="1:14" x14ac:dyDescent="0.3">
      <c r="A247" s="10">
        <v>46020</v>
      </c>
      <c r="B247" t="s">
        <v>19</v>
      </c>
      <c r="C247" t="str">
        <f t="shared" si="10"/>
        <v>342856178247</v>
      </c>
      <c r="D247" t="str">
        <f t="shared" si="11"/>
        <v>Client247</v>
      </c>
      <c r="E247" t="str">
        <f t="shared" si="9"/>
        <v>BOB247</v>
      </c>
      <c r="G247" s="11"/>
      <c r="H247" s="11">
        <v>0</v>
      </c>
      <c r="I247" s="11">
        <v>70054500</v>
      </c>
      <c r="J247" s="11">
        <v>81418200</v>
      </c>
      <c r="K247" s="11">
        <v>7021500</v>
      </c>
      <c r="L247" s="11">
        <v>13991700</v>
      </c>
      <c r="M247" s="11">
        <v>16770300</v>
      </c>
      <c r="N247" s="11">
        <v>0</v>
      </c>
    </row>
    <row r="248" spans="1:14" x14ac:dyDescent="0.3">
      <c r="A248" s="10">
        <v>46020</v>
      </c>
      <c r="B248" t="s">
        <v>19</v>
      </c>
      <c r="C248" t="str">
        <f t="shared" si="10"/>
        <v>342856178248</v>
      </c>
      <c r="D248" t="str">
        <f t="shared" si="11"/>
        <v>Client248</v>
      </c>
      <c r="E248" t="str">
        <f t="shared" si="9"/>
        <v>BOB248</v>
      </c>
      <c r="F248" t="s">
        <v>32</v>
      </c>
      <c r="G248" s="11" t="s">
        <v>22</v>
      </c>
      <c r="H248" s="11">
        <v>0</v>
      </c>
      <c r="I248" s="11">
        <v>0</v>
      </c>
      <c r="J248" s="11">
        <v>0</v>
      </c>
      <c r="K248" s="11">
        <v>0</v>
      </c>
      <c r="L248" s="11">
        <v>17117600</v>
      </c>
      <c r="M248" s="11">
        <v>15555800</v>
      </c>
      <c r="N248" s="11">
        <v>0</v>
      </c>
    </row>
    <row r="249" spans="1:14" x14ac:dyDescent="0.3">
      <c r="A249" s="10">
        <v>46020</v>
      </c>
      <c r="B249" t="s">
        <v>19</v>
      </c>
      <c r="C249" t="str">
        <f t="shared" si="10"/>
        <v>342856178249</v>
      </c>
      <c r="D249" t="str">
        <f t="shared" si="11"/>
        <v>Client249</v>
      </c>
      <c r="E249" t="str">
        <f t="shared" si="9"/>
        <v>BOB249</v>
      </c>
      <c r="F249" t="s">
        <v>21</v>
      </c>
      <c r="G249" s="11" t="s">
        <v>22</v>
      </c>
      <c r="H249" s="11">
        <v>0</v>
      </c>
      <c r="I249" s="11">
        <v>3013500</v>
      </c>
      <c r="J249" s="11">
        <v>0</v>
      </c>
      <c r="K249" s="11">
        <v>0</v>
      </c>
      <c r="L249" s="11">
        <v>11367900</v>
      </c>
      <c r="M249" s="11">
        <v>14691600</v>
      </c>
      <c r="N249" s="11">
        <v>0</v>
      </c>
    </row>
    <row r="250" spans="1:14" x14ac:dyDescent="0.3">
      <c r="A250" s="10">
        <v>46020</v>
      </c>
      <c r="B250" t="s">
        <v>19</v>
      </c>
      <c r="C250" t="str">
        <f t="shared" si="10"/>
        <v>342856178250</v>
      </c>
      <c r="D250" t="str">
        <f t="shared" si="11"/>
        <v>Client250</v>
      </c>
      <c r="E250" t="str">
        <f t="shared" si="9"/>
        <v>BOB250</v>
      </c>
      <c r="F250" t="s">
        <v>21</v>
      </c>
      <c r="G250" s="11" t="s">
        <v>22</v>
      </c>
      <c r="H250" s="11">
        <v>0</v>
      </c>
      <c r="I250" s="11">
        <v>0</v>
      </c>
      <c r="J250" s="11">
        <v>0</v>
      </c>
      <c r="K250" s="11">
        <v>0</v>
      </c>
      <c r="L250" s="11">
        <v>2776600</v>
      </c>
      <c r="M250" s="11">
        <v>2901900</v>
      </c>
      <c r="N250" s="11">
        <v>0</v>
      </c>
    </row>
    <row r="251" spans="1:14" x14ac:dyDescent="0.3">
      <c r="A251" s="10">
        <v>46020</v>
      </c>
      <c r="B251" t="s">
        <v>19</v>
      </c>
      <c r="C251" t="str">
        <f t="shared" si="10"/>
        <v>342856178251</v>
      </c>
      <c r="D251" t="str">
        <f t="shared" si="11"/>
        <v>Client251</v>
      </c>
      <c r="E251" t="str">
        <f t="shared" si="9"/>
        <v>BOB251</v>
      </c>
      <c r="F251" t="s">
        <v>24</v>
      </c>
      <c r="G251" s="11" t="s">
        <v>22</v>
      </c>
      <c r="H251" s="11">
        <v>0</v>
      </c>
      <c r="I251" s="11">
        <v>0</v>
      </c>
      <c r="J251" s="11">
        <v>500000</v>
      </c>
      <c r="K251" s="11">
        <v>21500000</v>
      </c>
      <c r="L251" s="11">
        <v>10439100</v>
      </c>
      <c r="M251" s="11">
        <v>34183200</v>
      </c>
      <c r="N251" s="11">
        <v>0</v>
      </c>
    </row>
    <row r="252" spans="1:14" x14ac:dyDescent="0.3">
      <c r="A252" s="10">
        <v>46020</v>
      </c>
      <c r="B252" t="s">
        <v>19</v>
      </c>
      <c r="C252" t="str">
        <f t="shared" si="10"/>
        <v>342856178252</v>
      </c>
      <c r="D252" t="str">
        <f t="shared" si="11"/>
        <v>Client252</v>
      </c>
      <c r="E252" t="str">
        <f t="shared" si="9"/>
        <v>BOB252</v>
      </c>
      <c r="F252" t="s">
        <v>21</v>
      </c>
      <c r="G252" s="11" t="s">
        <v>22</v>
      </c>
      <c r="H252" s="11">
        <v>0</v>
      </c>
      <c r="I252" s="11">
        <v>0</v>
      </c>
      <c r="J252" s="11">
        <v>0</v>
      </c>
      <c r="K252" s="11">
        <v>0</v>
      </c>
      <c r="L252" s="11">
        <v>4285100</v>
      </c>
      <c r="M252" s="11">
        <v>4609600</v>
      </c>
      <c r="N252" s="11">
        <v>0</v>
      </c>
    </row>
    <row r="253" spans="1:14" x14ac:dyDescent="0.3">
      <c r="A253" s="10">
        <v>46020</v>
      </c>
      <c r="B253" t="s">
        <v>19</v>
      </c>
      <c r="C253" t="str">
        <f t="shared" si="10"/>
        <v>342856178253</v>
      </c>
      <c r="D253" t="str">
        <f t="shared" si="11"/>
        <v>Client253</v>
      </c>
      <c r="E253" t="str">
        <f t="shared" si="9"/>
        <v>BOB253</v>
      </c>
      <c r="F253" t="s">
        <v>21</v>
      </c>
      <c r="G253" s="11" t="s">
        <v>22</v>
      </c>
      <c r="H253" s="11">
        <v>0</v>
      </c>
      <c r="I253" s="11">
        <v>720000</v>
      </c>
      <c r="J253" s="11">
        <v>0</v>
      </c>
      <c r="K253" s="11">
        <v>0</v>
      </c>
      <c r="L253" s="11">
        <v>2027500</v>
      </c>
      <c r="M253" s="11">
        <v>3271300</v>
      </c>
      <c r="N253" s="11">
        <v>0</v>
      </c>
    </row>
    <row r="254" spans="1:14" x14ac:dyDescent="0.3">
      <c r="A254" s="10">
        <v>46020</v>
      </c>
      <c r="B254" t="s">
        <v>19</v>
      </c>
      <c r="C254" t="str">
        <f t="shared" si="10"/>
        <v>342856178254</v>
      </c>
      <c r="D254" t="str">
        <f t="shared" si="11"/>
        <v>Client254</v>
      </c>
      <c r="E254" t="str">
        <f t="shared" si="9"/>
        <v>BOB254</v>
      </c>
      <c r="F254" t="s">
        <v>32</v>
      </c>
      <c r="G254" s="11" t="s">
        <v>22</v>
      </c>
      <c r="H254" s="11">
        <v>0</v>
      </c>
      <c r="I254" s="11">
        <v>0</v>
      </c>
      <c r="J254" s="11">
        <v>0</v>
      </c>
      <c r="K254" s="11">
        <v>440000</v>
      </c>
      <c r="L254" s="11">
        <v>321600</v>
      </c>
      <c r="M254" s="11">
        <v>670500</v>
      </c>
      <c r="N254" s="11">
        <v>0</v>
      </c>
    </row>
    <row r="255" spans="1:14" x14ac:dyDescent="0.3">
      <c r="A255" s="10">
        <v>46020</v>
      </c>
      <c r="B255" t="s">
        <v>19</v>
      </c>
      <c r="C255" t="str">
        <f t="shared" si="10"/>
        <v>342856178255</v>
      </c>
      <c r="D255" t="str">
        <f t="shared" si="11"/>
        <v>Client255</v>
      </c>
      <c r="E255" t="str">
        <f t="shared" si="9"/>
        <v>BOB255</v>
      </c>
      <c r="F255" t="s">
        <v>30</v>
      </c>
      <c r="G255" s="11" t="s">
        <v>83</v>
      </c>
      <c r="H255" s="11">
        <v>0</v>
      </c>
      <c r="I255" s="11">
        <v>0</v>
      </c>
      <c r="J255" s="11">
        <v>0</v>
      </c>
      <c r="K255" s="11">
        <v>0</v>
      </c>
      <c r="L255" s="11">
        <v>2564900</v>
      </c>
      <c r="M255" s="11">
        <v>2243000</v>
      </c>
      <c r="N255" s="11">
        <v>0</v>
      </c>
    </row>
    <row r="256" spans="1:14" x14ac:dyDescent="0.3">
      <c r="A256" s="10">
        <v>46020</v>
      </c>
      <c r="B256" t="s">
        <v>19</v>
      </c>
      <c r="C256" t="str">
        <f t="shared" si="10"/>
        <v>342856178256</v>
      </c>
      <c r="D256" t="str">
        <f t="shared" si="11"/>
        <v>Client256</v>
      </c>
      <c r="E256" t="str">
        <f t="shared" si="9"/>
        <v>BOB256</v>
      </c>
      <c r="F256" t="s">
        <v>30</v>
      </c>
      <c r="G256" s="11" t="s">
        <v>22</v>
      </c>
      <c r="H256" s="11">
        <v>0</v>
      </c>
      <c r="I256" s="11">
        <v>0</v>
      </c>
      <c r="J256" s="11">
        <v>0</v>
      </c>
      <c r="K256" s="11">
        <v>0</v>
      </c>
      <c r="L256" s="11">
        <v>4786700</v>
      </c>
      <c r="M256" s="11">
        <v>4628200</v>
      </c>
      <c r="N256" s="11">
        <v>0</v>
      </c>
    </row>
    <row r="257" spans="1:14" x14ac:dyDescent="0.3">
      <c r="A257" s="10">
        <v>46020</v>
      </c>
      <c r="B257" t="s">
        <v>19</v>
      </c>
      <c r="C257" t="str">
        <f t="shared" si="10"/>
        <v>342856178257</v>
      </c>
      <c r="D257" t="str">
        <f t="shared" si="11"/>
        <v>Client257</v>
      </c>
      <c r="E257" t="str">
        <f t="shared" si="9"/>
        <v>BOB257</v>
      </c>
      <c r="F257" t="s">
        <v>24</v>
      </c>
      <c r="G257" s="11" t="s">
        <v>22</v>
      </c>
      <c r="H257" s="11">
        <v>0</v>
      </c>
      <c r="I257" s="11">
        <v>0</v>
      </c>
      <c r="J257" s="11">
        <v>0</v>
      </c>
      <c r="K257" s="11">
        <v>2901500</v>
      </c>
      <c r="L257" s="11">
        <v>8743800</v>
      </c>
      <c r="M257" s="11">
        <v>11596100</v>
      </c>
      <c r="N257" s="11">
        <v>0</v>
      </c>
    </row>
    <row r="258" spans="1:14" x14ac:dyDescent="0.3">
      <c r="A258" s="10">
        <v>46020</v>
      </c>
      <c r="B258" t="s">
        <v>19</v>
      </c>
      <c r="C258" t="str">
        <f t="shared" si="10"/>
        <v>342856178258</v>
      </c>
      <c r="D258" t="str">
        <f t="shared" si="11"/>
        <v>Client258</v>
      </c>
      <c r="E258" t="str">
        <f t="shared" si="9"/>
        <v>BOB258</v>
      </c>
      <c r="G258" s="11"/>
      <c r="H258" s="11">
        <v>0</v>
      </c>
      <c r="I258" s="11">
        <v>0</v>
      </c>
      <c r="J258" s="11">
        <v>0</v>
      </c>
      <c r="K258" s="11">
        <v>0</v>
      </c>
      <c r="L258" s="11">
        <v>900000</v>
      </c>
      <c r="M258" s="11">
        <v>0</v>
      </c>
      <c r="N258" s="11">
        <v>0</v>
      </c>
    </row>
    <row r="259" spans="1:14" x14ac:dyDescent="0.3">
      <c r="A259" s="10">
        <v>46020</v>
      </c>
      <c r="B259" t="s">
        <v>19</v>
      </c>
      <c r="C259" t="str">
        <f t="shared" si="10"/>
        <v>342856178259</v>
      </c>
      <c r="D259" t="str">
        <f t="shared" si="11"/>
        <v>Client259</v>
      </c>
      <c r="E259" t="str">
        <f t="shared" ref="E259:E322" si="12">"BOB"&amp;ROW()</f>
        <v>BOB259</v>
      </c>
      <c r="F259" t="s">
        <v>24</v>
      </c>
      <c r="G259" s="11" t="s">
        <v>22</v>
      </c>
      <c r="H259" s="11">
        <v>0</v>
      </c>
      <c r="I259" s="11">
        <v>0</v>
      </c>
      <c r="J259" s="11">
        <v>0</v>
      </c>
      <c r="K259" s="11">
        <v>1000000</v>
      </c>
      <c r="L259" s="11">
        <v>4226400</v>
      </c>
      <c r="M259" s="11">
        <v>4745700</v>
      </c>
      <c r="N259" s="11">
        <v>0</v>
      </c>
    </row>
    <row r="260" spans="1:14" x14ac:dyDescent="0.3">
      <c r="A260" s="10">
        <v>46020</v>
      </c>
      <c r="B260" t="s">
        <v>19</v>
      </c>
      <c r="C260" t="str">
        <f t="shared" ref="C260:C323" si="13" xml:space="preserve"> "342856178" &amp; ROW()</f>
        <v>342856178260</v>
      </c>
      <c r="D260" t="str">
        <f t="shared" ref="D260:D323" si="14">"Client"  &amp; ROW()</f>
        <v>Client260</v>
      </c>
      <c r="E260" t="str">
        <f t="shared" si="12"/>
        <v>BOB260</v>
      </c>
      <c r="F260" t="s">
        <v>32</v>
      </c>
      <c r="G260" s="11" t="s">
        <v>22</v>
      </c>
      <c r="H260" s="11">
        <v>0</v>
      </c>
      <c r="I260" s="11">
        <v>0</v>
      </c>
      <c r="J260" s="11">
        <v>0</v>
      </c>
      <c r="K260" s="11">
        <v>0</v>
      </c>
      <c r="L260" s="11">
        <v>8999000</v>
      </c>
      <c r="M260" s="11">
        <v>0</v>
      </c>
      <c r="N260" s="11">
        <v>0</v>
      </c>
    </row>
    <row r="261" spans="1:14" x14ac:dyDescent="0.3">
      <c r="A261" s="10">
        <v>46020</v>
      </c>
      <c r="B261" t="s">
        <v>19</v>
      </c>
      <c r="C261" t="str">
        <f t="shared" si="13"/>
        <v>342856178261</v>
      </c>
      <c r="D261" t="str">
        <f t="shared" si="14"/>
        <v>Client261</v>
      </c>
      <c r="E261" t="str">
        <f t="shared" si="12"/>
        <v>BOB261</v>
      </c>
      <c r="F261" t="s">
        <v>30</v>
      </c>
      <c r="G261" s="11" t="s">
        <v>70</v>
      </c>
      <c r="H261" s="11">
        <v>0</v>
      </c>
      <c r="I261" s="11">
        <v>0</v>
      </c>
      <c r="J261" s="11">
        <v>0</v>
      </c>
      <c r="K261" s="11">
        <v>0</v>
      </c>
      <c r="L261" s="11">
        <v>8166100</v>
      </c>
      <c r="M261" s="11">
        <v>7632700</v>
      </c>
      <c r="N261" s="11">
        <v>0</v>
      </c>
    </row>
    <row r="262" spans="1:14" x14ac:dyDescent="0.3">
      <c r="A262" s="10">
        <v>46020</v>
      </c>
      <c r="B262" t="s">
        <v>19</v>
      </c>
      <c r="C262" t="str">
        <f t="shared" si="13"/>
        <v>342856178262</v>
      </c>
      <c r="D262" t="str">
        <f t="shared" si="14"/>
        <v>Client262</v>
      </c>
      <c r="E262" t="str">
        <f t="shared" si="12"/>
        <v>BOB262</v>
      </c>
      <c r="F262" t="s">
        <v>24</v>
      </c>
      <c r="G262" s="11" t="s">
        <v>22</v>
      </c>
      <c r="H262" s="11">
        <v>0</v>
      </c>
      <c r="I262" s="11">
        <v>0</v>
      </c>
      <c r="J262" s="11">
        <v>0</v>
      </c>
      <c r="K262" s="11">
        <v>2000000</v>
      </c>
      <c r="L262" s="11">
        <v>1970200</v>
      </c>
      <c r="M262" s="11">
        <v>3105000</v>
      </c>
      <c r="N262" s="11">
        <v>0</v>
      </c>
    </row>
    <row r="263" spans="1:14" x14ac:dyDescent="0.3">
      <c r="A263" s="10">
        <v>46020</v>
      </c>
      <c r="B263" t="s">
        <v>19</v>
      </c>
      <c r="C263" t="str">
        <f t="shared" si="13"/>
        <v>342856178263</v>
      </c>
      <c r="D263" t="str">
        <f t="shared" si="14"/>
        <v>Client263</v>
      </c>
      <c r="E263" t="str">
        <f t="shared" si="12"/>
        <v>BOB263</v>
      </c>
      <c r="F263" t="s">
        <v>32</v>
      </c>
      <c r="G263" s="11" t="s">
        <v>22</v>
      </c>
      <c r="H263" s="11">
        <v>0</v>
      </c>
      <c r="I263" s="11">
        <v>0</v>
      </c>
      <c r="J263" s="11">
        <v>0</v>
      </c>
      <c r="K263" s="11">
        <v>0</v>
      </c>
      <c r="L263" s="11">
        <v>0</v>
      </c>
      <c r="M263" s="11">
        <v>0</v>
      </c>
      <c r="N263" s="11">
        <v>0</v>
      </c>
    </row>
    <row r="264" spans="1:14" x14ac:dyDescent="0.3">
      <c r="A264" s="10">
        <v>46020</v>
      </c>
      <c r="B264" t="s">
        <v>19</v>
      </c>
      <c r="C264" t="str">
        <f t="shared" si="13"/>
        <v>342856178264</v>
      </c>
      <c r="D264" t="str">
        <f t="shared" si="14"/>
        <v>Client264</v>
      </c>
      <c r="E264" t="str">
        <f t="shared" si="12"/>
        <v>BOB264</v>
      </c>
      <c r="F264" t="s">
        <v>32</v>
      </c>
      <c r="G264" s="11" t="s">
        <v>22</v>
      </c>
      <c r="H264" s="11">
        <v>0</v>
      </c>
      <c r="I264" s="11">
        <v>0</v>
      </c>
      <c r="J264" s="11">
        <v>0</v>
      </c>
      <c r="K264" s="11">
        <v>0</v>
      </c>
      <c r="L264" s="11">
        <v>3727500</v>
      </c>
      <c r="M264" s="11">
        <v>2401000</v>
      </c>
      <c r="N264" s="11">
        <v>0</v>
      </c>
    </row>
    <row r="265" spans="1:14" x14ac:dyDescent="0.3">
      <c r="A265" s="10">
        <v>46020</v>
      </c>
      <c r="B265" t="s">
        <v>19</v>
      </c>
      <c r="C265" t="str">
        <f t="shared" si="13"/>
        <v>342856178265</v>
      </c>
      <c r="D265" t="str">
        <f t="shared" si="14"/>
        <v>Client265</v>
      </c>
      <c r="E265" t="str">
        <f t="shared" si="12"/>
        <v>BOB265</v>
      </c>
      <c r="F265" t="s">
        <v>21</v>
      </c>
      <c r="G265" s="11" t="s">
        <v>22</v>
      </c>
      <c r="H265" s="11">
        <v>0</v>
      </c>
      <c r="I265" s="11">
        <v>0</v>
      </c>
      <c r="J265" s="11">
        <v>0</v>
      </c>
      <c r="K265" s="11">
        <v>0</v>
      </c>
      <c r="L265" s="11">
        <v>0</v>
      </c>
      <c r="M265" s="11">
        <v>0</v>
      </c>
      <c r="N265" s="11">
        <v>0</v>
      </c>
    </row>
    <row r="266" spans="1:14" x14ac:dyDescent="0.3">
      <c r="A266" s="10">
        <v>46020</v>
      </c>
      <c r="B266" t="s">
        <v>19</v>
      </c>
      <c r="C266" t="str">
        <f t="shared" si="13"/>
        <v>342856178266</v>
      </c>
      <c r="D266" t="str">
        <f t="shared" si="14"/>
        <v>Client266</v>
      </c>
      <c r="E266" t="str">
        <f t="shared" si="12"/>
        <v>BOB266</v>
      </c>
      <c r="F266" t="s">
        <v>21</v>
      </c>
      <c r="G266" s="11" t="s">
        <v>22</v>
      </c>
      <c r="H266" s="11">
        <v>0</v>
      </c>
      <c r="I266" s="11">
        <v>0</v>
      </c>
      <c r="J266" s="11">
        <v>0</v>
      </c>
      <c r="K266" s="11">
        <v>3578200</v>
      </c>
      <c r="L266" s="11">
        <v>45576500</v>
      </c>
      <c r="M266" s="11">
        <v>52237700</v>
      </c>
      <c r="N266" s="11">
        <v>0</v>
      </c>
    </row>
    <row r="267" spans="1:14" x14ac:dyDescent="0.3">
      <c r="A267" s="10">
        <v>46020</v>
      </c>
      <c r="B267" t="s">
        <v>19</v>
      </c>
      <c r="C267" t="str">
        <f t="shared" si="13"/>
        <v>342856178267</v>
      </c>
      <c r="D267" t="str">
        <f t="shared" si="14"/>
        <v>Client267</v>
      </c>
      <c r="E267" t="str">
        <f t="shared" si="12"/>
        <v>BOB267</v>
      </c>
      <c r="G267" s="11"/>
      <c r="H267" s="11">
        <v>0</v>
      </c>
      <c r="I267" s="11">
        <v>0</v>
      </c>
      <c r="J267" s="11">
        <v>0</v>
      </c>
      <c r="K267" s="11">
        <v>401500</v>
      </c>
      <c r="L267" s="11">
        <v>843000</v>
      </c>
      <c r="M267" s="11">
        <v>552000</v>
      </c>
      <c r="N267" s="11">
        <v>0</v>
      </c>
    </row>
    <row r="268" spans="1:14" x14ac:dyDescent="0.3">
      <c r="A268" s="10">
        <v>46020</v>
      </c>
      <c r="B268" t="s">
        <v>19</v>
      </c>
      <c r="C268" t="str">
        <f t="shared" si="13"/>
        <v>342856178268</v>
      </c>
      <c r="D268" t="str">
        <f t="shared" si="14"/>
        <v>Client268</v>
      </c>
      <c r="E268" t="str">
        <f t="shared" si="12"/>
        <v>BOB268</v>
      </c>
      <c r="G268" s="11"/>
      <c r="H268" s="11">
        <v>0</v>
      </c>
      <c r="I268" s="11">
        <v>0</v>
      </c>
      <c r="J268" s="11">
        <v>0</v>
      </c>
      <c r="K268" s="11">
        <v>0</v>
      </c>
      <c r="L268" s="11">
        <v>0</v>
      </c>
      <c r="M268" s="11">
        <v>0</v>
      </c>
      <c r="N268" s="11">
        <v>0</v>
      </c>
    </row>
    <row r="269" spans="1:14" x14ac:dyDescent="0.3">
      <c r="A269" s="10">
        <v>46020</v>
      </c>
      <c r="B269" t="s">
        <v>19</v>
      </c>
      <c r="C269" t="str">
        <f t="shared" si="13"/>
        <v>342856178269</v>
      </c>
      <c r="D269" t="str">
        <f t="shared" si="14"/>
        <v>Client269</v>
      </c>
      <c r="E269" t="str">
        <f t="shared" si="12"/>
        <v>BOB269</v>
      </c>
      <c r="F269" t="s">
        <v>80</v>
      </c>
      <c r="G269" s="11" t="s">
        <v>80</v>
      </c>
      <c r="H269" s="11">
        <v>0</v>
      </c>
      <c r="I269" s="11">
        <v>0</v>
      </c>
      <c r="J269" s="11">
        <v>0</v>
      </c>
      <c r="K269" s="11">
        <v>0</v>
      </c>
      <c r="L269" s="11">
        <v>1955800</v>
      </c>
      <c r="M269" s="11">
        <v>1864500</v>
      </c>
      <c r="N269" s="11">
        <v>0</v>
      </c>
    </row>
    <row r="270" spans="1:14" x14ac:dyDescent="0.3">
      <c r="A270" s="10">
        <v>46020</v>
      </c>
      <c r="B270" t="s">
        <v>19</v>
      </c>
      <c r="C270" t="str">
        <f t="shared" si="13"/>
        <v>342856178270</v>
      </c>
      <c r="D270" t="str">
        <f t="shared" si="14"/>
        <v>Client270</v>
      </c>
      <c r="E270" t="str">
        <f t="shared" si="12"/>
        <v>BOB270</v>
      </c>
      <c r="F270" t="s">
        <v>21</v>
      </c>
      <c r="G270" s="11" t="s">
        <v>22</v>
      </c>
      <c r="H270" s="11">
        <v>0</v>
      </c>
      <c r="I270" s="11">
        <v>0</v>
      </c>
      <c r="J270" s="11">
        <v>0</v>
      </c>
      <c r="K270" s="11">
        <v>0</v>
      </c>
      <c r="L270" s="11">
        <v>0</v>
      </c>
      <c r="M270" s="11">
        <v>0</v>
      </c>
      <c r="N270" s="11">
        <v>0</v>
      </c>
    </row>
    <row r="271" spans="1:14" x14ac:dyDescent="0.3">
      <c r="A271" s="10">
        <v>46020</v>
      </c>
      <c r="B271" t="s">
        <v>19</v>
      </c>
      <c r="C271" t="str">
        <f t="shared" si="13"/>
        <v>342856178271</v>
      </c>
      <c r="D271" t="str">
        <f t="shared" si="14"/>
        <v>Client271</v>
      </c>
      <c r="E271" t="str">
        <f t="shared" si="12"/>
        <v>BOB271</v>
      </c>
      <c r="F271" t="s">
        <v>21</v>
      </c>
      <c r="G271" s="11" t="s">
        <v>22</v>
      </c>
      <c r="H271" s="11">
        <v>0</v>
      </c>
      <c r="I271" s="11">
        <v>0</v>
      </c>
      <c r="J271" s="11">
        <v>200000</v>
      </c>
      <c r="K271" s="11">
        <v>0</v>
      </c>
      <c r="L271" s="11">
        <v>46138300</v>
      </c>
      <c r="M271" s="11">
        <v>40176200</v>
      </c>
      <c r="N271" s="11">
        <v>0</v>
      </c>
    </row>
    <row r="272" spans="1:14" x14ac:dyDescent="0.3">
      <c r="A272" s="10">
        <v>46020</v>
      </c>
      <c r="B272" t="s">
        <v>19</v>
      </c>
      <c r="C272" t="str">
        <f t="shared" si="13"/>
        <v>342856178272</v>
      </c>
      <c r="D272" t="str">
        <f t="shared" si="14"/>
        <v>Client272</v>
      </c>
      <c r="E272" t="str">
        <f t="shared" si="12"/>
        <v>BOB272</v>
      </c>
      <c r="F272" t="s">
        <v>21</v>
      </c>
      <c r="G272" s="11" t="s">
        <v>22</v>
      </c>
      <c r="H272" s="11">
        <v>0</v>
      </c>
      <c r="I272" s="11">
        <v>0</v>
      </c>
      <c r="J272" s="11">
        <v>8000000</v>
      </c>
      <c r="K272" s="11">
        <v>0</v>
      </c>
      <c r="L272" s="11">
        <v>30839900</v>
      </c>
      <c r="M272" s="11">
        <v>23623700</v>
      </c>
      <c r="N272" s="11">
        <v>0</v>
      </c>
    </row>
    <row r="273" spans="1:14" x14ac:dyDescent="0.3">
      <c r="A273" s="10">
        <v>46020</v>
      </c>
      <c r="B273" t="s">
        <v>19</v>
      </c>
      <c r="C273" t="str">
        <f t="shared" si="13"/>
        <v>342856178273</v>
      </c>
      <c r="D273" t="str">
        <f t="shared" si="14"/>
        <v>Client273</v>
      </c>
      <c r="E273" t="str">
        <f t="shared" si="12"/>
        <v>BOB273</v>
      </c>
      <c r="F273" t="s">
        <v>21</v>
      </c>
      <c r="G273" s="11" t="s">
        <v>22</v>
      </c>
      <c r="H273" s="11">
        <v>0</v>
      </c>
      <c r="I273" s="11">
        <v>701500</v>
      </c>
      <c r="J273" s="11">
        <v>0</v>
      </c>
      <c r="K273" s="11">
        <v>0</v>
      </c>
      <c r="L273" s="11">
        <v>3828200</v>
      </c>
      <c r="M273" s="11">
        <v>5531500</v>
      </c>
      <c r="N273" s="11">
        <v>0</v>
      </c>
    </row>
    <row r="274" spans="1:14" x14ac:dyDescent="0.3">
      <c r="A274" s="10">
        <v>46020</v>
      </c>
      <c r="B274" t="s">
        <v>19</v>
      </c>
      <c r="C274" t="str">
        <f t="shared" si="13"/>
        <v>342856178274</v>
      </c>
      <c r="D274" t="str">
        <f t="shared" si="14"/>
        <v>Client274</v>
      </c>
      <c r="E274" t="str">
        <f t="shared" si="12"/>
        <v>BOB274</v>
      </c>
      <c r="F274" t="s">
        <v>30</v>
      </c>
      <c r="G274" s="11" t="s">
        <v>22</v>
      </c>
      <c r="H274" s="11">
        <v>0</v>
      </c>
      <c r="I274" s="11">
        <v>0</v>
      </c>
      <c r="J274" s="11">
        <v>0</v>
      </c>
      <c r="K274" s="11">
        <v>0</v>
      </c>
      <c r="L274" s="11">
        <v>5728900</v>
      </c>
      <c r="M274" s="11">
        <v>5846500</v>
      </c>
      <c r="N274" s="11">
        <v>0</v>
      </c>
    </row>
    <row r="275" spans="1:14" x14ac:dyDescent="0.3">
      <c r="A275" s="10">
        <v>46020</v>
      </c>
      <c r="B275" t="s">
        <v>19</v>
      </c>
      <c r="C275" t="str">
        <f t="shared" si="13"/>
        <v>342856178275</v>
      </c>
      <c r="D275" t="str">
        <f t="shared" si="14"/>
        <v>Client275</v>
      </c>
      <c r="E275" t="str">
        <f t="shared" si="12"/>
        <v>BOB275</v>
      </c>
      <c r="F275" t="s">
        <v>80</v>
      </c>
      <c r="G275" s="11" t="s">
        <v>80</v>
      </c>
      <c r="H275" s="11">
        <v>0</v>
      </c>
      <c r="I275" s="11">
        <v>0</v>
      </c>
      <c r="J275" s="11">
        <v>0</v>
      </c>
      <c r="K275" s="11">
        <v>0</v>
      </c>
      <c r="L275" s="11">
        <v>0</v>
      </c>
      <c r="M275" s="11">
        <v>0</v>
      </c>
      <c r="N275" s="11">
        <v>0</v>
      </c>
    </row>
    <row r="276" spans="1:14" x14ac:dyDescent="0.3">
      <c r="A276" s="10">
        <v>46020</v>
      </c>
      <c r="B276" t="s">
        <v>19</v>
      </c>
      <c r="C276" t="str">
        <f t="shared" si="13"/>
        <v>342856178276</v>
      </c>
      <c r="D276" t="str">
        <f t="shared" si="14"/>
        <v>Client276</v>
      </c>
      <c r="E276" t="str">
        <f t="shared" si="12"/>
        <v>BOB276</v>
      </c>
      <c r="F276" t="s">
        <v>32</v>
      </c>
      <c r="G276" s="11" t="s">
        <v>22</v>
      </c>
      <c r="H276" s="11">
        <v>0</v>
      </c>
      <c r="I276" s="11">
        <v>0</v>
      </c>
      <c r="J276" s="11">
        <v>0</v>
      </c>
      <c r="K276" s="11">
        <v>0</v>
      </c>
      <c r="L276" s="11">
        <v>0</v>
      </c>
      <c r="M276" s="11">
        <v>0</v>
      </c>
      <c r="N276" s="11">
        <v>0</v>
      </c>
    </row>
    <row r="277" spans="1:14" x14ac:dyDescent="0.3">
      <c r="A277" s="10">
        <v>46020</v>
      </c>
      <c r="B277" t="s">
        <v>19</v>
      </c>
      <c r="C277" t="str">
        <f t="shared" si="13"/>
        <v>342856178277</v>
      </c>
      <c r="D277" t="str">
        <f t="shared" si="14"/>
        <v>Client277</v>
      </c>
      <c r="E277" t="str">
        <f t="shared" si="12"/>
        <v>BOB277</v>
      </c>
      <c r="F277" t="s">
        <v>32</v>
      </c>
      <c r="G277" s="11" t="s">
        <v>22</v>
      </c>
      <c r="H277" s="11">
        <v>0</v>
      </c>
      <c r="I277" s="11">
        <v>0</v>
      </c>
      <c r="J277" s="11">
        <v>0</v>
      </c>
      <c r="K277" s="11">
        <v>0</v>
      </c>
      <c r="L277" s="11">
        <v>0</v>
      </c>
      <c r="M277" s="11">
        <v>0</v>
      </c>
      <c r="N277" s="11">
        <v>0</v>
      </c>
    </row>
    <row r="278" spans="1:14" x14ac:dyDescent="0.3">
      <c r="A278" s="10">
        <v>46020</v>
      </c>
      <c r="B278" t="s">
        <v>19</v>
      </c>
      <c r="C278" t="str">
        <f t="shared" si="13"/>
        <v>342856178278</v>
      </c>
      <c r="D278" t="str">
        <f t="shared" si="14"/>
        <v>Client278</v>
      </c>
      <c r="E278" t="str">
        <f t="shared" si="12"/>
        <v>BOB278</v>
      </c>
      <c r="F278" t="s">
        <v>32</v>
      </c>
      <c r="G278" s="11" t="s">
        <v>22</v>
      </c>
      <c r="H278" s="11">
        <v>0</v>
      </c>
      <c r="I278" s="11">
        <v>0</v>
      </c>
      <c r="J278" s="11">
        <v>0</v>
      </c>
      <c r="K278" s="11">
        <v>0</v>
      </c>
      <c r="L278" s="11">
        <v>10348400</v>
      </c>
      <c r="M278" s="11">
        <v>10884300</v>
      </c>
      <c r="N278" s="11">
        <v>0</v>
      </c>
    </row>
    <row r="279" spans="1:14" x14ac:dyDescent="0.3">
      <c r="A279" s="10">
        <v>46020</v>
      </c>
      <c r="B279" t="s">
        <v>19</v>
      </c>
      <c r="C279" t="str">
        <f t="shared" si="13"/>
        <v>342856178279</v>
      </c>
      <c r="D279" t="str">
        <f t="shared" si="14"/>
        <v>Client279</v>
      </c>
      <c r="E279" t="str">
        <f t="shared" si="12"/>
        <v>BOB279</v>
      </c>
      <c r="F279" t="s">
        <v>30</v>
      </c>
      <c r="G279" s="11" t="s">
        <v>22</v>
      </c>
      <c r="H279" s="11">
        <v>0</v>
      </c>
      <c r="I279" s="11">
        <v>0</v>
      </c>
      <c r="J279" s="11">
        <v>0</v>
      </c>
      <c r="K279" s="11">
        <v>0</v>
      </c>
      <c r="L279" s="11">
        <v>0</v>
      </c>
      <c r="M279" s="11">
        <v>0</v>
      </c>
      <c r="N279" s="11">
        <v>0</v>
      </c>
    </row>
    <row r="280" spans="1:14" x14ac:dyDescent="0.3">
      <c r="A280" s="10">
        <v>46020</v>
      </c>
      <c r="B280" t="s">
        <v>19</v>
      </c>
      <c r="C280" t="str">
        <f t="shared" si="13"/>
        <v>342856178280</v>
      </c>
      <c r="D280" t="str">
        <f t="shared" si="14"/>
        <v>Client280</v>
      </c>
      <c r="E280" t="str">
        <f t="shared" si="12"/>
        <v>BOB280</v>
      </c>
      <c r="F280" t="s">
        <v>24</v>
      </c>
      <c r="G280" s="11" t="s">
        <v>88</v>
      </c>
      <c r="H280" s="11">
        <v>0</v>
      </c>
      <c r="I280" s="11">
        <v>0</v>
      </c>
      <c r="J280" s="11">
        <v>0</v>
      </c>
      <c r="K280" s="11">
        <v>0</v>
      </c>
      <c r="L280" s="11">
        <v>10012300</v>
      </c>
      <c r="M280" s="11">
        <v>16579700</v>
      </c>
      <c r="N280" s="11">
        <v>0</v>
      </c>
    </row>
    <row r="281" spans="1:14" x14ac:dyDescent="0.3">
      <c r="A281" s="10">
        <v>46020</v>
      </c>
      <c r="B281" t="s">
        <v>19</v>
      </c>
      <c r="C281" t="str">
        <f t="shared" si="13"/>
        <v>342856178281</v>
      </c>
      <c r="D281" t="str">
        <f t="shared" si="14"/>
        <v>Client281</v>
      </c>
      <c r="E281" t="str">
        <f t="shared" si="12"/>
        <v>BOB281</v>
      </c>
      <c r="F281" t="s">
        <v>80</v>
      </c>
      <c r="G281" s="11" t="s">
        <v>89</v>
      </c>
      <c r="H281" s="11">
        <v>0</v>
      </c>
      <c r="I281" s="11">
        <v>0</v>
      </c>
      <c r="J281" s="11">
        <v>0</v>
      </c>
      <c r="K281" s="11">
        <v>0</v>
      </c>
      <c r="L281" s="11">
        <v>5841400</v>
      </c>
      <c r="M281" s="11">
        <v>12050200</v>
      </c>
      <c r="N281" s="11">
        <v>0</v>
      </c>
    </row>
    <row r="282" spans="1:14" x14ac:dyDescent="0.3">
      <c r="A282" s="10">
        <v>46020</v>
      </c>
      <c r="B282" t="s">
        <v>19</v>
      </c>
      <c r="C282" t="str">
        <f t="shared" si="13"/>
        <v>342856178282</v>
      </c>
      <c r="D282" t="str">
        <f t="shared" si="14"/>
        <v>Client282</v>
      </c>
      <c r="E282" t="str">
        <f t="shared" si="12"/>
        <v>BOB282</v>
      </c>
      <c r="G282" s="11"/>
      <c r="H282" s="11">
        <v>0</v>
      </c>
      <c r="I282" s="11">
        <v>0</v>
      </c>
      <c r="J282" s="11">
        <v>0</v>
      </c>
      <c r="K282" s="11">
        <v>0</v>
      </c>
      <c r="L282" s="11">
        <v>10590800</v>
      </c>
      <c r="M282" s="11">
        <v>10984400</v>
      </c>
      <c r="N282" s="11">
        <v>0</v>
      </c>
    </row>
    <row r="283" spans="1:14" x14ac:dyDescent="0.3">
      <c r="A283" s="10">
        <v>46020</v>
      </c>
      <c r="B283" t="s">
        <v>19</v>
      </c>
      <c r="C283" t="str">
        <f t="shared" si="13"/>
        <v>342856178283</v>
      </c>
      <c r="D283" t="str">
        <f t="shared" si="14"/>
        <v>Client283</v>
      </c>
      <c r="E283" t="str">
        <f t="shared" si="12"/>
        <v>BOB283</v>
      </c>
      <c r="G283" s="11"/>
      <c r="H283" s="11">
        <v>0</v>
      </c>
      <c r="I283" s="11">
        <v>0</v>
      </c>
      <c r="J283" s="11">
        <v>1250000</v>
      </c>
      <c r="K283" s="11">
        <v>2613000</v>
      </c>
      <c r="L283" s="11">
        <v>10190800</v>
      </c>
      <c r="M283" s="11">
        <v>11800900</v>
      </c>
      <c r="N283" s="11">
        <v>0</v>
      </c>
    </row>
    <row r="284" spans="1:14" x14ac:dyDescent="0.3">
      <c r="A284" s="10">
        <v>46020</v>
      </c>
      <c r="B284" t="s">
        <v>19</v>
      </c>
      <c r="C284" t="str">
        <f t="shared" si="13"/>
        <v>342856178284</v>
      </c>
      <c r="D284" t="str">
        <f t="shared" si="14"/>
        <v>Client284</v>
      </c>
      <c r="E284" t="str">
        <f t="shared" si="12"/>
        <v>BOB284</v>
      </c>
      <c r="F284" t="s">
        <v>21</v>
      </c>
      <c r="G284" s="11" t="s">
        <v>22</v>
      </c>
      <c r="H284" s="11">
        <v>0</v>
      </c>
      <c r="I284" s="11">
        <v>0</v>
      </c>
      <c r="J284" s="11">
        <v>0</v>
      </c>
      <c r="K284" s="11">
        <v>980000</v>
      </c>
      <c r="L284" s="11">
        <v>12675100</v>
      </c>
      <c r="M284" s="11">
        <v>14085100</v>
      </c>
      <c r="N284" s="11">
        <v>0</v>
      </c>
    </row>
    <row r="285" spans="1:14" x14ac:dyDescent="0.3">
      <c r="A285" s="10">
        <v>46020</v>
      </c>
      <c r="B285" t="s">
        <v>19</v>
      </c>
      <c r="C285" t="str">
        <f t="shared" si="13"/>
        <v>342856178285</v>
      </c>
      <c r="D285" t="str">
        <f t="shared" si="14"/>
        <v>Client285</v>
      </c>
      <c r="E285" t="str">
        <f t="shared" si="12"/>
        <v>BOB285</v>
      </c>
      <c r="G285" s="11"/>
      <c r="H285" s="11">
        <v>0</v>
      </c>
      <c r="I285" s="11">
        <v>0</v>
      </c>
      <c r="J285" s="11">
        <v>0</v>
      </c>
      <c r="K285" s="11">
        <v>0</v>
      </c>
      <c r="L285" s="11">
        <v>8171200</v>
      </c>
      <c r="M285" s="11">
        <v>9358900</v>
      </c>
      <c r="N285" s="11">
        <v>0</v>
      </c>
    </row>
    <row r="286" spans="1:14" x14ac:dyDescent="0.3">
      <c r="A286" s="10">
        <v>46020</v>
      </c>
      <c r="B286" t="s">
        <v>19</v>
      </c>
      <c r="C286" t="str">
        <f t="shared" si="13"/>
        <v>342856178286</v>
      </c>
      <c r="D286" t="str">
        <f t="shared" si="14"/>
        <v>Client286</v>
      </c>
      <c r="E286" t="str">
        <f t="shared" si="12"/>
        <v>BOB286</v>
      </c>
      <c r="F286" t="s">
        <v>21</v>
      </c>
      <c r="G286" s="11" t="s">
        <v>22</v>
      </c>
      <c r="H286" s="11">
        <v>0</v>
      </c>
      <c r="I286" s="11">
        <v>0</v>
      </c>
      <c r="J286" s="11">
        <v>0</v>
      </c>
      <c r="K286" s="11">
        <v>0</v>
      </c>
      <c r="L286" s="11">
        <v>25966700</v>
      </c>
      <c r="M286" s="11">
        <v>27344000</v>
      </c>
      <c r="N286" s="11">
        <v>0</v>
      </c>
    </row>
    <row r="287" spans="1:14" x14ac:dyDescent="0.3">
      <c r="A287" s="10">
        <v>46020</v>
      </c>
      <c r="B287" t="s">
        <v>19</v>
      </c>
      <c r="C287" t="str">
        <f t="shared" si="13"/>
        <v>342856178287</v>
      </c>
      <c r="D287" t="str">
        <f t="shared" si="14"/>
        <v>Client287</v>
      </c>
      <c r="E287" t="str">
        <f t="shared" si="12"/>
        <v>BOB287</v>
      </c>
      <c r="G287" s="11"/>
      <c r="H287" s="11">
        <v>0</v>
      </c>
      <c r="I287" s="11">
        <v>0</v>
      </c>
      <c r="J287" s="11">
        <v>1100000</v>
      </c>
      <c r="K287" s="11">
        <v>3100000</v>
      </c>
      <c r="L287" s="11">
        <v>4369700</v>
      </c>
      <c r="M287" s="11">
        <v>6385300</v>
      </c>
      <c r="N287" s="11">
        <v>0</v>
      </c>
    </row>
    <row r="288" spans="1:14" x14ac:dyDescent="0.3">
      <c r="A288" s="10">
        <v>46020</v>
      </c>
      <c r="B288" t="s">
        <v>19</v>
      </c>
      <c r="C288" t="str">
        <f t="shared" si="13"/>
        <v>342856178288</v>
      </c>
      <c r="D288" t="str">
        <f t="shared" si="14"/>
        <v>Client288</v>
      </c>
      <c r="E288" t="str">
        <f t="shared" si="12"/>
        <v>BOB288</v>
      </c>
      <c r="F288" t="s">
        <v>32</v>
      </c>
      <c r="G288" s="11" t="s">
        <v>22</v>
      </c>
      <c r="H288" s="11">
        <v>0</v>
      </c>
      <c r="I288" s="11">
        <v>0</v>
      </c>
      <c r="J288" s="11">
        <v>0</v>
      </c>
      <c r="K288" s="11">
        <v>0</v>
      </c>
      <c r="L288" s="11">
        <v>904700</v>
      </c>
      <c r="M288" s="11">
        <v>100000</v>
      </c>
      <c r="N288" s="11">
        <v>0</v>
      </c>
    </row>
    <row r="289" spans="1:14" x14ac:dyDescent="0.3">
      <c r="A289" s="10">
        <v>46020</v>
      </c>
      <c r="B289" t="s">
        <v>19</v>
      </c>
      <c r="C289" t="str">
        <f t="shared" si="13"/>
        <v>342856178289</v>
      </c>
      <c r="D289" t="str">
        <f t="shared" si="14"/>
        <v>Client289</v>
      </c>
      <c r="E289" t="str">
        <f t="shared" si="12"/>
        <v>BOB289</v>
      </c>
      <c r="G289" s="11"/>
      <c r="H289" s="11">
        <v>0</v>
      </c>
      <c r="I289" s="11">
        <v>0</v>
      </c>
      <c r="J289" s="11">
        <v>0</v>
      </c>
      <c r="K289" s="11">
        <v>0</v>
      </c>
      <c r="L289" s="11">
        <v>52600</v>
      </c>
      <c r="M289" s="11">
        <v>352000</v>
      </c>
      <c r="N289" s="11">
        <v>0</v>
      </c>
    </row>
    <row r="290" spans="1:14" x14ac:dyDescent="0.3">
      <c r="A290" s="10">
        <v>46020</v>
      </c>
      <c r="B290" t="s">
        <v>19</v>
      </c>
      <c r="C290" t="str">
        <f t="shared" si="13"/>
        <v>342856178290</v>
      </c>
      <c r="D290" t="str">
        <f t="shared" si="14"/>
        <v>Client290</v>
      </c>
      <c r="E290" t="str">
        <f t="shared" si="12"/>
        <v>BOB290</v>
      </c>
      <c r="F290" t="s">
        <v>26</v>
      </c>
      <c r="G290" s="11" t="s">
        <v>27</v>
      </c>
      <c r="H290" s="11">
        <v>0</v>
      </c>
      <c r="I290" s="11">
        <v>0</v>
      </c>
      <c r="J290" s="11">
        <v>0</v>
      </c>
      <c r="K290" s="11">
        <v>500500</v>
      </c>
      <c r="L290" s="11">
        <v>1903000</v>
      </c>
      <c r="M290" s="11">
        <v>3200100</v>
      </c>
      <c r="N290" s="11">
        <v>0</v>
      </c>
    </row>
    <row r="291" spans="1:14" x14ac:dyDescent="0.3">
      <c r="A291" s="10">
        <v>46020</v>
      </c>
      <c r="B291" t="s">
        <v>19</v>
      </c>
      <c r="C291" t="str">
        <f t="shared" si="13"/>
        <v>342856178291</v>
      </c>
      <c r="D291" t="str">
        <f t="shared" si="14"/>
        <v>Client291</v>
      </c>
      <c r="E291" t="str">
        <f t="shared" si="12"/>
        <v>BOB291</v>
      </c>
      <c r="F291" t="s">
        <v>21</v>
      </c>
      <c r="G291" s="11" t="s">
        <v>22</v>
      </c>
      <c r="H291" s="11">
        <v>0</v>
      </c>
      <c r="I291" s="11">
        <v>0</v>
      </c>
      <c r="J291" s="11">
        <v>0</v>
      </c>
      <c r="K291" s="11">
        <v>3000000</v>
      </c>
      <c r="L291" s="11">
        <v>5979500</v>
      </c>
      <c r="M291" s="11">
        <v>9923600</v>
      </c>
      <c r="N291" s="11">
        <v>0</v>
      </c>
    </row>
    <row r="292" spans="1:14" x14ac:dyDescent="0.3">
      <c r="A292" s="10">
        <v>46020</v>
      </c>
      <c r="B292" t="s">
        <v>19</v>
      </c>
      <c r="C292" t="str">
        <f t="shared" si="13"/>
        <v>342856178292</v>
      </c>
      <c r="D292" t="str">
        <f t="shared" si="14"/>
        <v>Client292</v>
      </c>
      <c r="E292" t="str">
        <f t="shared" si="12"/>
        <v>BOB292</v>
      </c>
      <c r="F292" t="s">
        <v>21</v>
      </c>
      <c r="G292" s="11" t="s">
        <v>22</v>
      </c>
      <c r="H292" s="11">
        <v>0</v>
      </c>
      <c r="I292" s="11">
        <v>0</v>
      </c>
      <c r="J292" s="11">
        <v>9000000</v>
      </c>
      <c r="K292" s="11">
        <v>1000000</v>
      </c>
      <c r="L292" s="11">
        <v>64438100</v>
      </c>
      <c r="M292" s="11">
        <v>57656100</v>
      </c>
      <c r="N292" s="11">
        <v>0</v>
      </c>
    </row>
    <row r="293" spans="1:14" x14ac:dyDescent="0.3">
      <c r="A293" s="10">
        <v>46020</v>
      </c>
      <c r="B293" t="s">
        <v>19</v>
      </c>
      <c r="C293" t="str">
        <f t="shared" si="13"/>
        <v>342856178293</v>
      </c>
      <c r="D293" t="str">
        <f t="shared" si="14"/>
        <v>Client293</v>
      </c>
      <c r="E293" t="str">
        <f t="shared" si="12"/>
        <v>BOB293</v>
      </c>
      <c r="F293" t="s">
        <v>21</v>
      </c>
      <c r="G293" s="11" t="s">
        <v>22</v>
      </c>
      <c r="H293" s="11">
        <v>0</v>
      </c>
      <c r="I293" s="11">
        <v>0</v>
      </c>
      <c r="J293" s="11">
        <v>0</v>
      </c>
      <c r="K293" s="11">
        <v>0</v>
      </c>
      <c r="L293" s="11">
        <v>17571400</v>
      </c>
      <c r="M293" s="11">
        <v>18030000</v>
      </c>
      <c r="N293" s="11">
        <v>0</v>
      </c>
    </row>
    <row r="294" spans="1:14" x14ac:dyDescent="0.3">
      <c r="A294" s="10">
        <v>46020</v>
      </c>
      <c r="B294" t="s">
        <v>19</v>
      </c>
      <c r="C294" t="str">
        <f t="shared" si="13"/>
        <v>342856178294</v>
      </c>
      <c r="D294" t="str">
        <f t="shared" si="14"/>
        <v>Client294</v>
      </c>
      <c r="E294" t="str">
        <f t="shared" si="12"/>
        <v>BOB294</v>
      </c>
      <c r="F294" t="s">
        <v>32</v>
      </c>
      <c r="G294" s="11" t="s">
        <v>22</v>
      </c>
      <c r="H294" s="11">
        <v>0</v>
      </c>
      <c r="I294" s="11">
        <v>0</v>
      </c>
      <c r="J294" s="11">
        <v>20010000</v>
      </c>
      <c r="K294" s="11">
        <v>8753000</v>
      </c>
      <c r="L294" s="11">
        <v>40606400</v>
      </c>
      <c r="M294" s="11">
        <v>29120100</v>
      </c>
      <c r="N294" s="11">
        <v>0</v>
      </c>
    </row>
    <row r="295" spans="1:14" x14ac:dyDescent="0.3">
      <c r="A295" s="10">
        <v>46020</v>
      </c>
      <c r="B295" t="s">
        <v>19</v>
      </c>
      <c r="C295" t="str">
        <f t="shared" si="13"/>
        <v>342856178295</v>
      </c>
      <c r="D295" t="str">
        <f t="shared" si="14"/>
        <v>Client295</v>
      </c>
      <c r="E295" t="str">
        <f t="shared" si="12"/>
        <v>BOB295</v>
      </c>
      <c r="F295" t="s">
        <v>32</v>
      </c>
      <c r="G295" s="11" t="s">
        <v>22</v>
      </c>
      <c r="H295" s="11">
        <v>0</v>
      </c>
      <c r="I295" s="11">
        <v>0</v>
      </c>
      <c r="J295" s="11">
        <v>0</v>
      </c>
      <c r="K295" s="11">
        <v>0</v>
      </c>
      <c r="L295" s="11">
        <v>27253200</v>
      </c>
      <c r="M295" s="11">
        <v>27415900</v>
      </c>
      <c r="N295" s="11">
        <v>0</v>
      </c>
    </row>
    <row r="296" spans="1:14" x14ac:dyDescent="0.3">
      <c r="A296" s="10">
        <v>46020</v>
      </c>
      <c r="B296" t="s">
        <v>19</v>
      </c>
      <c r="C296" t="str">
        <f t="shared" si="13"/>
        <v>342856178296</v>
      </c>
      <c r="D296" t="str">
        <f t="shared" si="14"/>
        <v>Client296</v>
      </c>
      <c r="E296" t="str">
        <f t="shared" si="12"/>
        <v>BOB296</v>
      </c>
      <c r="G296" s="11"/>
      <c r="H296" s="11">
        <v>0</v>
      </c>
      <c r="I296" s="11">
        <v>0</v>
      </c>
      <c r="J296" s="11">
        <v>2000000</v>
      </c>
      <c r="K296" s="11">
        <v>0</v>
      </c>
      <c r="L296" s="11">
        <v>19121000</v>
      </c>
      <c r="M296" s="11">
        <v>19926700</v>
      </c>
      <c r="N296" s="11">
        <v>0</v>
      </c>
    </row>
    <row r="297" spans="1:14" x14ac:dyDescent="0.3">
      <c r="A297" s="10">
        <v>46020</v>
      </c>
      <c r="B297" t="s">
        <v>19</v>
      </c>
      <c r="C297" t="str">
        <f t="shared" si="13"/>
        <v>342856178297</v>
      </c>
      <c r="D297" t="str">
        <f t="shared" si="14"/>
        <v>Client297</v>
      </c>
      <c r="E297" t="str">
        <f t="shared" si="12"/>
        <v>BOB297</v>
      </c>
      <c r="F297" t="s">
        <v>26</v>
      </c>
      <c r="G297" s="11" t="s">
        <v>27</v>
      </c>
      <c r="H297" s="11">
        <v>0</v>
      </c>
      <c r="I297" s="11">
        <v>0</v>
      </c>
      <c r="J297" s="11">
        <v>0</v>
      </c>
      <c r="K297" s="11">
        <v>0</v>
      </c>
      <c r="L297" s="11">
        <v>5208900</v>
      </c>
      <c r="M297" s="11">
        <v>5491900</v>
      </c>
      <c r="N297" s="11">
        <v>0</v>
      </c>
    </row>
    <row r="298" spans="1:14" x14ac:dyDescent="0.3">
      <c r="A298" s="10">
        <v>46020</v>
      </c>
      <c r="B298" t="s">
        <v>19</v>
      </c>
      <c r="C298" t="str">
        <f t="shared" si="13"/>
        <v>342856178298</v>
      </c>
      <c r="D298" t="str">
        <f t="shared" si="14"/>
        <v>Client298</v>
      </c>
      <c r="E298" t="str">
        <f t="shared" si="12"/>
        <v>BOB298</v>
      </c>
      <c r="F298" t="s">
        <v>24</v>
      </c>
      <c r="G298" s="11" t="s">
        <v>22</v>
      </c>
      <c r="H298" s="11">
        <v>0</v>
      </c>
      <c r="I298" s="11">
        <v>0</v>
      </c>
      <c r="J298" s="11">
        <v>0</v>
      </c>
      <c r="K298" s="11">
        <v>11000000</v>
      </c>
      <c r="L298" s="11">
        <v>20505500</v>
      </c>
      <c r="M298" s="11">
        <v>32970700</v>
      </c>
      <c r="N298" s="11">
        <v>0</v>
      </c>
    </row>
    <row r="299" spans="1:14" x14ac:dyDescent="0.3">
      <c r="A299" s="10">
        <v>46020</v>
      </c>
      <c r="B299" t="s">
        <v>19</v>
      </c>
      <c r="C299" t="str">
        <f t="shared" si="13"/>
        <v>342856178299</v>
      </c>
      <c r="D299" t="str">
        <f t="shared" si="14"/>
        <v>Client299</v>
      </c>
      <c r="E299" t="str">
        <f t="shared" si="12"/>
        <v>BOB299</v>
      </c>
      <c r="F299" t="s">
        <v>32</v>
      </c>
      <c r="G299" s="11" t="s">
        <v>22</v>
      </c>
      <c r="H299" s="11">
        <v>0</v>
      </c>
      <c r="I299" s="11">
        <v>0</v>
      </c>
      <c r="J299" s="11">
        <v>0</v>
      </c>
      <c r="K299" s="11">
        <v>0</v>
      </c>
      <c r="L299" s="11">
        <v>0</v>
      </c>
      <c r="M299" s="11">
        <v>0</v>
      </c>
      <c r="N299" s="11">
        <v>0</v>
      </c>
    </row>
    <row r="300" spans="1:14" x14ac:dyDescent="0.3">
      <c r="A300" s="10">
        <v>46020</v>
      </c>
      <c r="B300" t="s">
        <v>19</v>
      </c>
      <c r="C300" t="str">
        <f t="shared" si="13"/>
        <v>342856178300</v>
      </c>
      <c r="D300" t="str">
        <f t="shared" si="14"/>
        <v>Client300</v>
      </c>
      <c r="E300" t="str">
        <f t="shared" si="12"/>
        <v>BOB300</v>
      </c>
      <c r="G300" s="11"/>
      <c r="H300" s="11">
        <v>0</v>
      </c>
      <c r="I300" s="11">
        <v>0</v>
      </c>
      <c r="J300" s="11">
        <v>0</v>
      </c>
      <c r="K300" s="11">
        <v>0</v>
      </c>
      <c r="L300" s="11">
        <v>51300</v>
      </c>
      <c r="M300" s="11">
        <v>2000</v>
      </c>
      <c r="N300" s="11">
        <v>0</v>
      </c>
    </row>
    <row r="301" spans="1:14" x14ac:dyDescent="0.3">
      <c r="A301" s="10">
        <v>46020</v>
      </c>
      <c r="B301" t="s">
        <v>19</v>
      </c>
      <c r="C301" t="str">
        <f t="shared" si="13"/>
        <v>342856178301</v>
      </c>
      <c r="D301" t="str">
        <f t="shared" si="14"/>
        <v>Client301</v>
      </c>
      <c r="E301" t="str">
        <f t="shared" si="12"/>
        <v>BOB301</v>
      </c>
      <c r="F301" t="s">
        <v>21</v>
      </c>
      <c r="G301" s="11" t="s">
        <v>22</v>
      </c>
      <c r="H301" s="11">
        <v>0</v>
      </c>
      <c r="I301" s="11">
        <v>0</v>
      </c>
      <c r="J301" s="11">
        <v>0</v>
      </c>
      <c r="K301" s="11">
        <v>0</v>
      </c>
      <c r="L301" s="11">
        <v>25992800</v>
      </c>
      <c r="M301" s="11">
        <v>26682800</v>
      </c>
      <c r="N301" s="11">
        <v>0</v>
      </c>
    </row>
    <row r="302" spans="1:14" x14ac:dyDescent="0.3">
      <c r="A302" s="10">
        <v>46020</v>
      </c>
      <c r="B302" t="s">
        <v>19</v>
      </c>
      <c r="C302" t="str">
        <f t="shared" si="13"/>
        <v>342856178302</v>
      </c>
      <c r="D302" t="str">
        <f t="shared" si="14"/>
        <v>Client302</v>
      </c>
      <c r="E302" t="str">
        <f t="shared" si="12"/>
        <v>BOB302</v>
      </c>
      <c r="F302" t="s">
        <v>21</v>
      </c>
      <c r="G302" s="11" t="s">
        <v>22</v>
      </c>
      <c r="H302" s="11">
        <v>0</v>
      </c>
      <c r="I302" s="11">
        <v>0</v>
      </c>
      <c r="J302" s="11">
        <v>4000000</v>
      </c>
      <c r="K302" s="11">
        <v>0</v>
      </c>
      <c r="L302" s="11">
        <v>8538200</v>
      </c>
      <c r="M302" s="11">
        <v>5795500</v>
      </c>
      <c r="N302" s="11">
        <v>0</v>
      </c>
    </row>
    <row r="303" spans="1:14" x14ac:dyDescent="0.3">
      <c r="A303" s="10">
        <v>46020</v>
      </c>
      <c r="B303" t="s">
        <v>19</v>
      </c>
      <c r="C303" t="str">
        <f t="shared" si="13"/>
        <v>342856178303</v>
      </c>
      <c r="D303" t="str">
        <f t="shared" si="14"/>
        <v>Client303</v>
      </c>
      <c r="E303" t="str">
        <f t="shared" si="12"/>
        <v>BOB303</v>
      </c>
      <c r="F303" t="s">
        <v>32</v>
      </c>
      <c r="G303" s="11" t="s">
        <v>22</v>
      </c>
      <c r="H303" s="11">
        <v>0</v>
      </c>
      <c r="I303" s="11">
        <v>0</v>
      </c>
      <c r="J303" s="11">
        <v>0</v>
      </c>
      <c r="K303" s="11">
        <v>0</v>
      </c>
      <c r="L303" s="11">
        <v>19617100</v>
      </c>
      <c r="M303" s="11">
        <v>21227200</v>
      </c>
      <c r="N303" s="11">
        <v>0</v>
      </c>
    </row>
    <row r="304" spans="1:14" x14ac:dyDescent="0.3">
      <c r="A304" s="10">
        <v>46020</v>
      </c>
      <c r="B304" t="s">
        <v>19</v>
      </c>
      <c r="C304" t="str">
        <f t="shared" si="13"/>
        <v>342856178304</v>
      </c>
      <c r="D304" t="str">
        <f t="shared" si="14"/>
        <v>Client304</v>
      </c>
      <c r="E304" t="str">
        <f t="shared" si="12"/>
        <v>BOB304</v>
      </c>
      <c r="F304" t="s">
        <v>21</v>
      </c>
      <c r="G304" s="11" t="s">
        <v>22</v>
      </c>
      <c r="H304" s="11">
        <v>0</v>
      </c>
      <c r="I304" s="11">
        <v>470000</v>
      </c>
      <c r="J304" s="11">
        <v>0</v>
      </c>
      <c r="K304" s="11">
        <v>0</v>
      </c>
      <c r="L304" s="11">
        <v>3233300</v>
      </c>
      <c r="M304" s="11">
        <v>3821100</v>
      </c>
      <c r="N304" s="11">
        <v>0</v>
      </c>
    </row>
    <row r="305" spans="1:14" x14ac:dyDescent="0.3">
      <c r="A305" s="10">
        <v>46020</v>
      </c>
      <c r="B305" t="s">
        <v>19</v>
      </c>
      <c r="C305" t="str">
        <f t="shared" si="13"/>
        <v>342856178305</v>
      </c>
      <c r="D305" t="str">
        <f t="shared" si="14"/>
        <v>Client305</v>
      </c>
      <c r="E305" t="str">
        <f t="shared" si="12"/>
        <v>BOB305</v>
      </c>
      <c r="F305" t="s">
        <v>30</v>
      </c>
      <c r="G305" s="11" t="s">
        <v>22</v>
      </c>
      <c r="H305" s="11">
        <v>0</v>
      </c>
      <c r="I305" s="11">
        <v>0</v>
      </c>
      <c r="J305" s="11">
        <v>0</v>
      </c>
      <c r="K305" s="11">
        <v>45420000</v>
      </c>
      <c r="L305" s="11">
        <v>25139900</v>
      </c>
      <c r="M305" s="11">
        <v>76990600</v>
      </c>
      <c r="N305" s="11">
        <v>0</v>
      </c>
    </row>
    <row r="306" spans="1:14" x14ac:dyDescent="0.3">
      <c r="A306" s="10">
        <v>46020</v>
      </c>
      <c r="B306" t="s">
        <v>19</v>
      </c>
      <c r="C306" t="str">
        <f t="shared" si="13"/>
        <v>342856178306</v>
      </c>
      <c r="D306" t="str">
        <f t="shared" si="14"/>
        <v>Client306</v>
      </c>
      <c r="E306" t="str">
        <f t="shared" si="12"/>
        <v>BOB306</v>
      </c>
      <c r="G306" s="11"/>
      <c r="H306" s="11">
        <v>0</v>
      </c>
      <c r="I306" s="11">
        <v>0</v>
      </c>
      <c r="J306" s="11">
        <v>0</v>
      </c>
      <c r="K306" s="11">
        <v>0</v>
      </c>
      <c r="L306" s="11">
        <v>1325400</v>
      </c>
      <c r="M306" s="11">
        <v>1638000</v>
      </c>
      <c r="N306" s="11">
        <v>0</v>
      </c>
    </row>
    <row r="307" spans="1:14" x14ac:dyDescent="0.3">
      <c r="A307" s="10">
        <v>46020</v>
      </c>
      <c r="B307" t="s">
        <v>19</v>
      </c>
      <c r="C307" t="str">
        <f t="shared" si="13"/>
        <v>342856178307</v>
      </c>
      <c r="D307" t="str">
        <f t="shared" si="14"/>
        <v>Client307</v>
      </c>
      <c r="E307" t="str">
        <f t="shared" si="12"/>
        <v>BOB307</v>
      </c>
      <c r="F307" t="s">
        <v>26</v>
      </c>
      <c r="G307" s="11" t="s">
        <v>27</v>
      </c>
      <c r="H307" s="11">
        <v>0</v>
      </c>
      <c r="I307" s="11">
        <v>0</v>
      </c>
      <c r="J307" s="11">
        <v>0</v>
      </c>
      <c r="K307" s="11">
        <v>5500000</v>
      </c>
      <c r="L307" s="11">
        <v>15120500</v>
      </c>
      <c r="M307" s="11">
        <v>21647600</v>
      </c>
      <c r="N307" s="11">
        <v>0</v>
      </c>
    </row>
    <row r="308" spans="1:14" x14ac:dyDescent="0.3">
      <c r="A308" s="10">
        <v>46020</v>
      </c>
      <c r="B308" t="s">
        <v>19</v>
      </c>
      <c r="C308" t="str">
        <f t="shared" si="13"/>
        <v>342856178308</v>
      </c>
      <c r="D308" t="str">
        <f t="shared" si="14"/>
        <v>Client308</v>
      </c>
      <c r="E308" t="str">
        <f t="shared" si="12"/>
        <v>BOB308</v>
      </c>
      <c r="F308" t="s">
        <v>32</v>
      </c>
      <c r="G308" s="11" t="s">
        <v>22</v>
      </c>
      <c r="H308" s="11">
        <v>85000000</v>
      </c>
      <c r="I308" s="11">
        <v>0</v>
      </c>
      <c r="J308" s="11">
        <v>0</v>
      </c>
      <c r="K308" s="11">
        <v>0</v>
      </c>
      <c r="L308" s="11">
        <v>118735100</v>
      </c>
      <c r="M308" s="11">
        <v>36471900</v>
      </c>
      <c r="N308" s="11">
        <v>0</v>
      </c>
    </row>
    <row r="309" spans="1:14" x14ac:dyDescent="0.3">
      <c r="A309" s="10">
        <v>46020</v>
      </c>
      <c r="B309" t="s">
        <v>19</v>
      </c>
      <c r="C309" t="str">
        <f t="shared" si="13"/>
        <v>342856178309</v>
      </c>
      <c r="D309" t="str">
        <f t="shared" si="14"/>
        <v>Client309</v>
      </c>
      <c r="E309" t="str">
        <f t="shared" si="12"/>
        <v>BOB309</v>
      </c>
      <c r="F309" t="s">
        <v>21</v>
      </c>
      <c r="G309" s="11" t="s">
        <v>22</v>
      </c>
      <c r="H309" s="11">
        <v>0</v>
      </c>
      <c r="I309" s="11">
        <v>0</v>
      </c>
      <c r="J309" s="11">
        <v>0</v>
      </c>
      <c r="K309" s="11">
        <v>0</v>
      </c>
      <c r="L309" s="11">
        <v>42892300</v>
      </c>
      <c r="M309" s="11">
        <v>43063300</v>
      </c>
      <c r="N309" s="11">
        <v>0</v>
      </c>
    </row>
    <row r="310" spans="1:14" x14ac:dyDescent="0.3">
      <c r="A310" s="10">
        <v>46020</v>
      </c>
      <c r="B310" t="s">
        <v>19</v>
      </c>
      <c r="C310" t="str">
        <f t="shared" si="13"/>
        <v>342856178310</v>
      </c>
      <c r="D310" t="str">
        <f t="shared" si="14"/>
        <v>Client310</v>
      </c>
      <c r="E310" t="str">
        <f t="shared" si="12"/>
        <v>BOB310</v>
      </c>
      <c r="F310" t="s">
        <v>68</v>
      </c>
      <c r="G310" s="11" t="s">
        <v>22</v>
      </c>
      <c r="H310" s="11">
        <v>0</v>
      </c>
      <c r="I310" s="11">
        <v>0</v>
      </c>
      <c r="J310" s="11">
        <v>0</v>
      </c>
      <c r="K310" s="11">
        <v>450000</v>
      </c>
      <c r="L310" s="11">
        <v>457000</v>
      </c>
      <c r="M310" s="11">
        <v>582000</v>
      </c>
      <c r="N310" s="11">
        <v>0</v>
      </c>
    </row>
    <row r="311" spans="1:14" x14ac:dyDescent="0.3">
      <c r="A311" s="10">
        <v>46020</v>
      </c>
      <c r="B311" t="s">
        <v>19</v>
      </c>
      <c r="C311" t="str">
        <f t="shared" si="13"/>
        <v>342856178311</v>
      </c>
      <c r="D311" t="str">
        <f t="shared" si="14"/>
        <v>Client311</v>
      </c>
      <c r="E311" t="str">
        <f t="shared" si="12"/>
        <v>BOB311</v>
      </c>
      <c r="F311" t="s">
        <v>24</v>
      </c>
      <c r="G311" s="11" t="s">
        <v>22</v>
      </c>
      <c r="H311" s="11">
        <v>0</v>
      </c>
      <c r="I311" s="11">
        <v>0</v>
      </c>
      <c r="J311" s="11">
        <v>0</v>
      </c>
      <c r="K311" s="11">
        <v>0</v>
      </c>
      <c r="L311" s="11">
        <v>16349900</v>
      </c>
      <c r="M311" s="11">
        <v>15062900</v>
      </c>
      <c r="N311" s="11">
        <v>0</v>
      </c>
    </row>
    <row r="312" spans="1:14" x14ac:dyDescent="0.3">
      <c r="A312" s="10">
        <v>46020</v>
      </c>
      <c r="B312" t="s">
        <v>19</v>
      </c>
      <c r="C312" t="str">
        <f t="shared" si="13"/>
        <v>342856178312</v>
      </c>
      <c r="D312" t="str">
        <f t="shared" si="14"/>
        <v>Client312</v>
      </c>
      <c r="E312" t="str">
        <f t="shared" si="12"/>
        <v>BOB312</v>
      </c>
      <c r="F312" t="s">
        <v>21</v>
      </c>
      <c r="G312" s="11" t="s">
        <v>22</v>
      </c>
      <c r="H312" s="11">
        <v>0</v>
      </c>
      <c r="I312" s="11">
        <v>0</v>
      </c>
      <c r="J312" s="11">
        <v>4424000</v>
      </c>
      <c r="K312" s="11">
        <v>6201000</v>
      </c>
      <c r="L312" s="11">
        <v>18513900</v>
      </c>
      <c r="M312" s="11">
        <v>19921000</v>
      </c>
      <c r="N312" s="11">
        <v>0</v>
      </c>
    </row>
    <row r="313" spans="1:14" x14ac:dyDescent="0.3">
      <c r="A313" s="10">
        <v>46020</v>
      </c>
      <c r="B313" t="s">
        <v>19</v>
      </c>
      <c r="C313" t="str">
        <f t="shared" si="13"/>
        <v>342856178313</v>
      </c>
      <c r="D313" t="str">
        <f t="shared" si="14"/>
        <v>Client313</v>
      </c>
      <c r="E313" t="str">
        <f t="shared" si="12"/>
        <v>BOB313</v>
      </c>
      <c r="G313" s="11"/>
      <c r="H313" s="11">
        <v>0</v>
      </c>
      <c r="I313" s="11">
        <v>0</v>
      </c>
      <c r="J313" s="11">
        <v>0</v>
      </c>
      <c r="K313" s="11">
        <v>0</v>
      </c>
      <c r="L313" s="11">
        <v>228000</v>
      </c>
      <c r="M313" s="11">
        <v>225000</v>
      </c>
      <c r="N313" s="11">
        <v>0</v>
      </c>
    </row>
    <row r="314" spans="1:14" x14ac:dyDescent="0.3">
      <c r="A314" s="10">
        <v>46020</v>
      </c>
      <c r="B314" t="s">
        <v>19</v>
      </c>
      <c r="C314" t="str">
        <f t="shared" si="13"/>
        <v>342856178314</v>
      </c>
      <c r="D314" t="str">
        <f t="shared" si="14"/>
        <v>Client314</v>
      </c>
      <c r="E314" t="str">
        <f t="shared" si="12"/>
        <v>BOB314</v>
      </c>
      <c r="F314" t="s">
        <v>24</v>
      </c>
      <c r="G314" s="11" t="s">
        <v>22</v>
      </c>
      <c r="H314" s="11">
        <v>0</v>
      </c>
      <c r="I314" s="11">
        <v>0</v>
      </c>
      <c r="J314" s="11">
        <v>0</v>
      </c>
      <c r="K314" s="11">
        <v>0</v>
      </c>
      <c r="L314" s="11">
        <v>544300</v>
      </c>
      <c r="M314" s="11">
        <v>487700</v>
      </c>
      <c r="N314" s="11">
        <v>0</v>
      </c>
    </row>
    <row r="315" spans="1:14" x14ac:dyDescent="0.3">
      <c r="A315" s="10">
        <v>46020</v>
      </c>
      <c r="B315" t="s">
        <v>19</v>
      </c>
      <c r="C315" t="str">
        <f t="shared" si="13"/>
        <v>342856178315</v>
      </c>
      <c r="D315" t="str">
        <f t="shared" si="14"/>
        <v>Client315</v>
      </c>
      <c r="E315" t="str">
        <f t="shared" si="12"/>
        <v>BOB315</v>
      </c>
      <c r="F315" t="s">
        <v>32</v>
      </c>
      <c r="G315" s="11" t="s">
        <v>22</v>
      </c>
      <c r="H315" s="11">
        <v>0</v>
      </c>
      <c r="I315" s="11">
        <v>0</v>
      </c>
      <c r="J315" s="11">
        <v>0</v>
      </c>
      <c r="K315" s="11">
        <v>0</v>
      </c>
      <c r="L315" s="11">
        <v>15956400</v>
      </c>
      <c r="M315" s="11">
        <v>15704100</v>
      </c>
      <c r="N315" s="11">
        <v>0</v>
      </c>
    </row>
    <row r="316" spans="1:14" x14ac:dyDescent="0.3">
      <c r="A316" s="10">
        <v>46020</v>
      </c>
      <c r="B316" t="s">
        <v>19</v>
      </c>
      <c r="C316" t="str">
        <f t="shared" si="13"/>
        <v>342856178316</v>
      </c>
      <c r="D316" t="str">
        <f t="shared" si="14"/>
        <v>Client316</v>
      </c>
      <c r="E316" t="str">
        <f t="shared" si="12"/>
        <v>BOB316</v>
      </c>
      <c r="F316" t="s">
        <v>32</v>
      </c>
      <c r="G316" s="11" t="s">
        <v>22</v>
      </c>
      <c r="H316" s="11">
        <v>0</v>
      </c>
      <c r="I316" s="11">
        <v>2000000</v>
      </c>
      <c r="J316" s="11">
        <v>0</v>
      </c>
      <c r="K316" s="11">
        <v>0</v>
      </c>
      <c r="L316" s="11">
        <v>25168000</v>
      </c>
      <c r="M316" s="11">
        <v>29556700</v>
      </c>
      <c r="N316" s="11">
        <v>0</v>
      </c>
    </row>
    <row r="317" spans="1:14" x14ac:dyDescent="0.3">
      <c r="A317" s="10">
        <v>46020</v>
      </c>
      <c r="B317" t="s">
        <v>19</v>
      </c>
      <c r="C317" t="str">
        <f t="shared" si="13"/>
        <v>342856178317</v>
      </c>
      <c r="D317" t="str">
        <f t="shared" si="14"/>
        <v>Client317</v>
      </c>
      <c r="E317" t="str">
        <f t="shared" si="12"/>
        <v>BOB317</v>
      </c>
      <c r="G317" s="11"/>
      <c r="H317" s="11">
        <v>0</v>
      </c>
      <c r="I317" s="11">
        <v>0</v>
      </c>
      <c r="J317" s="11">
        <v>0</v>
      </c>
      <c r="K317" s="11">
        <v>0</v>
      </c>
      <c r="L317" s="11">
        <v>2363600</v>
      </c>
      <c r="M317" s="11">
        <v>1830000</v>
      </c>
      <c r="N317" s="11">
        <v>0</v>
      </c>
    </row>
    <row r="318" spans="1:14" x14ac:dyDescent="0.3">
      <c r="A318" s="10">
        <v>46020</v>
      </c>
      <c r="B318" t="s">
        <v>19</v>
      </c>
      <c r="C318" t="str">
        <f t="shared" si="13"/>
        <v>342856178318</v>
      </c>
      <c r="D318" t="str">
        <f t="shared" si="14"/>
        <v>Client318</v>
      </c>
      <c r="E318" t="str">
        <f t="shared" si="12"/>
        <v>BOB318</v>
      </c>
      <c r="F318" t="s">
        <v>68</v>
      </c>
      <c r="G318" s="11" t="s">
        <v>69</v>
      </c>
      <c r="H318" s="11">
        <v>0</v>
      </c>
      <c r="I318" s="11">
        <v>0</v>
      </c>
      <c r="J318" s="11">
        <v>0</v>
      </c>
      <c r="K318" s="11">
        <v>0</v>
      </c>
      <c r="L318" s="11">
        <v>0</v>
      </c>
      <c r="M318" s="11">
        <v>0</v>
      </c>
      <c r="N318" s="11">
        <v>0</v>
      </c>
    </row>
    <row r="319" spans="1:14" x14ac:dyDescent="0.3">
      <c r="A319" s="10">
        <v>46020</v>
      </c>
      <c r="B319" t="s">
        <v>19</v>
      </c>
      <c r="C319" t="str">
        <f t="shared" si="13"/>
        <v>342856178319</v>
      </c>
      <c r="D319" t="str">
        <f t="shared" si="14"/>
        <v>Client319</v>
      </c>
      <c r="E319" t="str">
        <f t="shared" si="12"/>
        <v>BOB319</v>
      </c>
      <c r="F319" t="s">
        <v>24</v>
      </c>
      <c r="G319" s="11" t="s">
        <v>22</v>
      </c>
      <c r="H319" s="11">
        <v>0</v>
      </c>
      <c r="I319" s="11">
        <v>0</v>
      </c>
      <c r="J319" s="11">
        <v>0</v>
      </c>
      <c r="K319" s="11">
        <v>346700</v>
      </c>
      <c r="L319" s="11">
        <v>8337600</v>
      </c>
      <c r="M319" s="11">
        <v>8307800</v>
      </c>
      <c r="N319" s="11">
        <v>0</v>
      </c>
    </row>
    <row r="320" spans="1:14" x14ac:dyDescent="0.3">
      <c r="A320" s="10">
        <v>46020</v>
      </c>
      <c r="B320" t="s">
        <v>19</v>
      </c>
      <c r="C320" t="str">
        <f t="shared" si="13"/>
        <v>342856178320</v>
      </c>
      <c r="D320" t="str">
        <f t="shared" si="14"/>
        <v>Client320</v>
      </c>
      <c r="E320" t="str">
        <f t="shared" si="12"/>
        <v>BOB320</v>
      </c>
      <c r="F320" t="s">
        <v>32</v>
      </c>
      <c r="G320" s="11" t="s">
        <v>22</v>
      </c>
      <c r="H320" s="11">
        <v>0</v>
      </c>
      <c r="I320" s="11">
        <v>13019500</v>
      </c>
      <c r="J320" s="11">
        <v>0</v>
      </c>
      <c r="K320" s="11">
        <v>0</v>
      </c>
      <c r="L320" s="11">
        <v>29785900</v>
      </c>
      <c r="M320" s="11">
        <v>42157700</v>
      </c>
      <c r="N320" s="11">
        <v>0</v>
      </c>
    </row>
    <row r="321" spans="1:14" x14ac:dyDescent="0.3">
      <c r="A321" s="10">
        <v>46020</v>
      </c>
      <c r="B321" t="s">
        <v>19</v>
      </c>
      <c r="C321" t="str">
        <f t="shared" si="13"/>
        <v>342856178321</v>
      </c>
      <c r="D321" t="str">
        <f t="shared" si="14"/>
        <v>Client321</v>
      </c>
      <c r="E321" t="str">
        <f t="shared" si="12"/>
        <v>BOB321</v>
      </c>
      <c r="F321" t="s">
        <v>21</v>
      </c>
      <c r="G321" s="11" t="s">
        <v>22</v>
      </c>
      <c r="H321" s="11">
        <v>0</v>
      </c>
      <c r="I321" s="11">
        <v>0</v>
      </c>
      <c r="J321" s="11">
        <v>0</v>
      </c>
      <c r="K321" s="11">
        <v>0</v>
      </c>
      <c r="L321" s="11">
        <v>3472700</v>
      </c>
      <c r="M321" s="11">
        <v>3526500</v>
      </c>
      <c r="N321" s="11">
        <v>0</v>
      </c>
    </row>
    <row r="322" spans="1:14" x14ac:dyDescent="0.3">
      <c r="A322" s="10">
        <v>46020</v>
      </c>
      <c r="B322" t="s">
        <v>19</v>
      </c>
      <c r="C322" t="str">
        <f t="shared" si="13"/>
        <v>342856178322</v>
      </c>
      <c r="D322" t="str">
        <f t="shared" si="14"/>
        <v>Client322</v>
      </c>
      <c r="E322" t="str">
        <f t="shared" si="12"/>
        <v>BOB322</v>
      </c>
      <c r="F322" t="s">
        <v>90</v>
      </c>
      <c r="G322" s="11" t="s">
        <v>90</v>
      </c>
      <c r="H322" s="11">
        <v>0</v>
      </c>
      <c r="I322" s="11">
        <v>0</v>
      </c>
      <c r="J322" s="11">
        <v>0</v>
      </c>
      <c r="K322" s="11">
        <v>0</v>
      </c>
      <c r="L322" s="11">
        <v>0</v>
      </c>
      <c r="M322" s="11">
        <v>0</v>
      </c>
      <c r="N322" s="11">
        <v>0</v>
      </c>
    </row>
    <row r="323" spans="1:14" x14ac:dyDescent="0.3">
      <c r="A323" s="10">
        <v>46020</v>
      </c>
      <c r="B323" t="s">
        <v>19</v>
      </c>
      <c r="C323" t="str">
        <f t="shared" si="13"/>
        <v>342856178323</v>
      </c>
      <c r="D323" t="str">
        <f t="shared" si="14"/>
        <v>Client323</v>
      </c>
      <c r="E323" t="str">
        <f t="shared" ref="E323:E386" si="15">"BOB"&amp;ROW()</f>
        <v>BOB323</v>
      </c>
      <c r="F323" t="s">
        <v>68</v>
      </c>
      <c r="G323" s="11" t="s">
        <v>22</v>
      </c>
      <c r="H323" s="11">
        <v>0</v>
      </c>
      <c r="I323" s="11">
        <v>11695900</v>
      </c>
      <c r="J323" s="11">
        <v>0</v>
      </c>
      <c r="K323" s="11">
        <v>0</v>
      </c>
      <c r="L323" s="11">
        <v>76027100</v>
      </c>
      <c r="M323" s="11">
        <v>89413700</v>
      </c>
      <c r="N323" s="11">
        <v>0</v>
      </c>
    </row>
    <row r="324" spans="1:14" x14ac:dyDescent="0.3">
      <c r="A324" s="10">
        <v>46020</v>
      </c>
      <c r="B324" t="s">
        <v>19</v>
      </c>
      <c r="C324" t="str">
        <f t="shared" ref="C324:C387" si="16" xml:space="preserve"> "342856178" &amp; ROW()</f>
        <v>342856178324</v>
      </c>
      <c r="D324" t="str">
        <f t="shared" ref="D324:D387" si="17">"Client"  &amp; ROW()</f>
        <v>Client324</v>
      </c>
      <c r="E324" t="str">
        <f t="shared" si="15"/>
        <v>BOB324</v>
      </c>
      <c r="F324" t="s">
        <v>30</v>
      </c>
      <c r="G324" s="11" t="s">
        <v>76</v>
      </c>
      <c r="H324" s="11">
        <v>0</v>
      </c>
      <c r="I324" s="11">
        <v>0</v>
      </c>
      <c r="J324" s="11">
        <v>0</v>
      </c>
      <c r="K324" s="11">
        <v>1003000</v>
      </c>
      <c r="L324" s="11">
        <v>1319600</v>
      </c>
      <c r="M324" s="11">
        <v>3305300</v>
      </c>
      <c r="N324" s="11">
        <v>0</v>
      </c>
    </row>
    <row r="325" spans="1:14" x14ac:dyDescent="0.3">
      <c r="A325" s="10">
        <v>46020</v>
      </c>
      <c r="B325" t="s">
        <v>19</v>
      </c>
      <c r="C325" t="str">
        <f t="shared" si="16"/>
        <v>342856178325</v>
      </c>
      <c r="D325" t="str">
        <f t="shared" si="17"/>
        <v>Client325</v>
      </c>
      <c r="E325" t="str">
        <f t="shared" si="15"/>
        <v>BOB325</v>
      </c>
      <c r="F325" t="s">
        <v>68</v>
      </c>
      <c r="G325" s="11" t="s">
        <v>91</v>
      </c>
      <c r="H325" s="11">
        <v>0</v>
      </c>
      <c r="I325" s="11">
        <v>0</v>
      </c>
      <c r="J325" s="11">
        <v>0</v>
      </c>
      <c r="K325" s="11">
        <v>19031000</v>
      </c>
      <c r="L325" s="11">
        <v>5771300</v>
      </c>
      <c r="M325" s="11">
        <v>21617300</v>
      </c>
      <c r="N325" s="11">
        <v>0</v>
      </c>
    </row>
    <row r="326" spans="1:14" x14ac:dyDescent="0.3">
      <c r="A326" s="10">
        <v>46020</v>
      </c>
      <c r="B326" t="s">
        <v>19</v>
      </c>
      <c r="C326" t="str">
        <f t="shared" si="16"/>
        <v>342856178326</v>
      </c>
      <c r="D326" t="str">
        <f t="shared" si="17"/>
        <v>Client326</v>
      </c>
      <c r="E326" t="str">
        <f t="shared" si="15"/>
        <v>BOB326</v>
      </c>
      <c r="F326" t="s">
        <v>32</v>
      </c>
      <c r="G326" s="11" t="s">
        <v>22</v>
      </c>
      <c r="H326" s="11">
        <v>0</v>
      </c>
      <c r="I326" s="11">
        <v>0</v>
      </c>
      <c r="J326" s="11">
        <v>7995000</v>
      </c>
      <c r="K326" s="11">
        <v>1821000</v>
      </c>
      <c r="L326" s="11">
        <v>16198700</v>
      </c>
      <c r="M326" s="11">
        <v>10425800</v>
      </c>
      <c r="N326" s="11">
        <v>0</v>
      </c>
    </row>
    <row r="327" spans="1:14" x14ac:dyDescent="0.3">
      <c r="A327" s="10">
        <v>46020</v>
      </c>
      <c r="B327" t="s">
        <v>19</v>
      </c>
      <c r="C327" t="str">
        <f t="shared" si="16"/>
        <v>342856178327</v>
      </c>
      <c r="D327" t="str">
        <f t="shared" si="17"/>
        <v>Client327</v>
      </c>
      <c r="E327" t="str">
        <f t="shared" si="15"/>
        <v>BOB327</v>
      </c>
      <c r="F327" t="s">
        <v>24</v>
      </c>
      <c r="G327" s="11" t="s">
        <v>22</v>
      </c>
      <c r="H327" s="11">
        <v>0</v>
      </c>
      <c r="I327" s="11">
        <v>0</v>
      </c>
      <c r="J327" s="11">
        <v>0</v>
      </c>
      <c r="K327" s="11">
        <v>0</v>
      </c>
      <c r="L327" s="11">
        <v>8233600</v>
      </c>
      <c r="M327" s="11">
        <v>8820400</v>
      </c>
      <c r="N327" s="11">
        <v>0</v>
      </c>
    </row>
    <row r="328" spans="1:14" x14ac:dyDescent="0.3">
      <c r="A328" s="10">
        <v>46020</v>
      </c>
      <c r="B328" t="s">
        <v>19</v>
      </c>
      <c r="C328" t="str">
        <f t="shared" si="16"/>
        <v>342856178328</v>
      </c>
      <c r="D328" t="str">
        <f t="shared" si="17"/>
        <v>Client328</v>
      </c>
      <c r="E328" t="str">
        <f t="shared" si="15"/>
        <v>BOB328</v>
      </c>
      <c r="F328" t="s">
        <v>21</v>
      </c>
      <c r="G328" s="11" t="s">
        <v>22</v>
      </c>
      <c r="H328" s="11">
        <v>0</v>
      </c>
      <c r="I328" s="11">
        <v>0</v>
      </c>
      <c r="J328" s="11">
        <v>0</v>
      </c>
      <c r="K328" s="11">
        <v>0</v>
      </c>
      <c r="L328" s="11">
        <v>0</v>
      </c>
      <c r="M328" s="11">
        <v>0</v>
      </c>
      <c r="N328" s="11">
        <v>0</v>
      </c>
    </row>
    <row r="329" spans="1:14" x14ac:dyDescent="0.3">
      <c r="A329" s="10">
        <v>46020</v>
      </c>
      <c r="B329" t="s">
        <v>19</v>
      </c>
      <c r="C329" t="str">
        <f t="shared" si="16"/>
        <v>342856178329</v>
      </c>
      <c r="D329" t="str">
        <f t="shared" si="17"/>
        <v>Client329</v>
      </c>
      <c r="E329" t="str">
        <f t="shared" si="15"/>
        <v>BOB329</v>
      </c>
      <c r="F329" t="s">
        <v>21</v>
      </c>
      <c r="G329" s="11" t="s">
        <v>22</v>
      </c>
      <c r="H329" s="11">
        <v>0</v>
      </c>
      <c r="I329" s="11">
        <v>0</v>
      </c>
      <c r="J329" s="11">
        <v>0</v>
      </c>
      <c r="K329" s="11">
        <v>0</v>
      </c>
      <c r="L329" s="11">
        <v>0</v>
      </c>
      <c r="M329" s="11">
        <v>0</v>
      </c>
      <c r="N329" s="11">
        <v>0</v>
      </c>
    </row>
    <row r="330" spans="1:14" x14ac:dyDescent="0.3">
      <c r="A330" s="10">
        <v>46020</v>
      </c>
      <c r="B330" t="s">
        <v>19</v>
      </c>
      <c r="C330" t="str">
        <f t="shared" si="16"/>
        <v>342856178330</v>
      </c>
      <c r="D330" t="str">
        <f t="shared" si="17"/>
        <v>Client330</v>
      </c>
      <c r="E330" t="str">
        <f t="shared" si="15"/>
        <v>BOB330</v>
      </c>
      <c r="F330" t="s">
        <v>32</v>
      </c>
      <c r="G330" s="11" t="s">
        <v>22</v>
      </c>
      <c r="H330" s="11">
        <v>0</v>
      </c>
      <c r="I330" s="11">
        <v>0</v>
      </c>
      <c r="J330" s="11">
        <v>0</v>
      </c>
      <c r="K330" s="11">
        <v>0</v>
      </c>
      <c r="L330" s="11">
        <v>0</v>
      </c>
      <c r="M330" s="11">
        <v>0</v>
      </c>
      <c r="N330" s="11">
        <v>0</v>
      </c>
    </row>
    <row r="331" spans="1:14" x14ac:dyDescent="0.3">
      <c r="A331" s="10">
        <v>46020</v>
      </c>
      <c r="B331" t="s">
        <v>19</v>
      </c>
      <c r="C331" t="str">
        <f t="shared" si="16"/>
        <v>342856178331</v>
      </c>
      <c r="D331" t="str">
        <f t="shared" si="17"/>
        <v>Client331</v>
      </c>
      <c r="E331" t="str">
        <f t="shared" si="15"/>
        <v>BOB331</v>
      </c>
      <c r="F331" t="s">
        <v>24</v>
      </c>
      <c r="G331" s="11" t="s">
        <v>22</v>
      </c>
      <c r="H331" s="11">
        <v>0</v>
      </c>
      <c r="I331" s="11">
        <v>0</v>
      </c>
      <c r="J331" s="11">
        <v>0</v>
      </c>
      <c r="K331" s="11">
        <v>2000000</v>
      </c>
      <c r="L331" s="11">
        <v>5336000</v>
      </c>
      <c r="M331" s="11">
        <v>6337600</v>
      </c>
      <c r="N331" s="11">
        <v>0</v>
      </c>
    </row>
    <row r="332" spans="1:14" x14ac:dyDescent="0.3">
      <c r="A332" s="10">
        <v>46020</v>
      </c>
      <c r="B332" t="s">
        <v>19</v>
      </c>
      <c r="C332" t="str">
        <f t="shared" si="16"/>
        <v>342856178332</v>
      </c>
      <c r="D332" t="str">
        <f t="shared" si="17"/>
        <v>Client332</v>
      </c>
      <c r="E332" t="str">
        <f t="shared" si="15"/>
        <v>BOB332</v>
      </c>
      <c r="F332" t="s">
        <v>21</v>
      </c>
      <c r="G332" s="11" t="s">
        <v>22</v>
      </c>
      <c r="H332" s="11">
        <v>0</v>
      </c>
      <c r="I332" s="11">
        <v>0</v>
      </c>
      <c r="J332" s="11">
        <v>0</v>
      </c>
      <c r="K332" s="11">
        <v>0</v>
      </c>
      <c r="L332" s="11">
        <v>0</v>
      </c>
      <c r="M332" s="11">
        <v>0</v>
      </c>
      <c r="N332" s="11">
        <v>0</v>
      </c>
    </row>
    <row r="333" spans="1:14" x14ac:dyDescent="0.3">
      <c r="A333" s="10">
        <v>46020</v>
      </c>
      <c r="B333" t="s">
        <v>19</v>
      </c>
      <c r="C333" t="str">
        <f t="shared" si="16"/>
        <v>342856178333</v>
      </c>
      <c r="D333" t="str">
        <f t="shared" si="17"/>
        <v>Client333</v>
      </c>
      <c r="E333" t="str">
        <f t="shared" si="15"/>
        <v>BOB333</v>
      </c>
      <c r="F333" t="s">
        <v>26</v>
      </c>
      <c r="G333" s="11" t="s">
        <v>27</v>
      </c>
      <c r="H333" s="11">
        <v>0</v>
      </c>
      <c r="I333" s="11">
        <v>0</v>
      </c>
      <c r="J333" s="11">
        <v>0</v>
      </c>
      <c r="K333" s="11">
        <v>0</v>
      </c>
      <c r="L333" s="11">
        <v>11258100</v>
      </c>
      <c r="M333" s="11">
        <v>10868900</v>
      </c>
      <c r="N333" s="11">
        <v>0</v>
      </c>
    </row>
    <row r="334" spans="1:14" x14ac:dyDescent="0.3">
      <c r="A334" s="10">
        <v>46020</v>
      </c>
      <c r="B334" t="s">
        <v>19</v>
      </c>
      <c r="C334" t="str">
        <f t="shared" si="16"/>
        <v>342856178334</v>
      </c>
      <c r="D334" t="str">
        <f t="shared" si="17"/>
        <v>Client334</v>
      </c>
      <c r="E334" t="str">
        <f t="shared" si="15"/>
        <v>BOB334</v>
      </c>
      <c r="F334" t="s">
        <v>21</v>
      </c>
      <c r="G334" s="11" t="s">
        <v>22</v>
      </c>
      <c r="H334" s="11">
        <v>4000000</v>
      </c>
      <c r="I334" s="11">
        <v>6490000</v>
      </c>
      <c r="J334" s="11">
        <v>32120700</v>
      </c>
      <c r="K334" s="11">
        <v>5642600</v>
      </c>
      <c r="L334" s="11">
        <v>39562300</v>
      </c>
      <c r="M334" s="11">
        <v>14760800</v>
      </c>
      <c r="N334" s="11">
        <v>0</v>
      </c>
    </row>
    <row r="335" spans="1:14" x14ac:dyDescent="0.3">
      <c r="A335" s="10">
        <v>46020</v>
      </c>
      <c r="B335" t="s">
        <v>19</v>
      </c>
      <c r="C335" t="str">
        <f t="shared" si="16"/>
        <v>342856178335</v>
      </c>
      <c r="D335" t="str">
        <f t="shared" si="17"/>
        <v>Client335</v>
      </c>
      <c r="E335" t="str">
        <f t="shared" si="15"/>
        <v>BOB335</v>
      </c>
      <c r="F335" t="s">
        <v>21</v>
      </c>
      <c r="G335" s="11" t="s">
        <v>22</v>
      </c>
      <c r="H335" s="11">
        <v>0</v>
      </c>
      <c r="I335" s="11">
        <v>0</v>
      </c>
      <c r="J335" s="11">
        <v>0</v>
      </c>
      <c r="K335" s="11">
        <v>0</v>
      </c>
      <c r="L335" s="11">
        <v>27473200</v>
      </c>
      <c r="M335" s="11">
        <v>27861700</v>
      </c>
      <c r="N335" s="11">
        <v>0</v>
      </c>
    </row>
    <row r="336" spans="1:14" x14ac:dyDescent="0.3">
      <c r="A336" s="10">
        <v>46020</v>
      </c>
      <c r="B336" t="s">
        <v>19</v>
      </c>
      <c r="C336" t="str">
        <f t="shared" si="16"/>
        <v>342856178336</v>
      </c>
      <c r="D336" t="str">
        <f t="shared" si="17"/>
        <v>Client336</v>
      </c>
      <c r="E336" t="str">
        <f t="shared" si="15"/>
        <v>BOB336</v>
      </c>
      <c r="F336" t="s">
        <v>32</v>
      </c>
      <c r="G336" s="11" t="s">
        <v>22</v>
      </c>
      <c r="H336" s="11">
        <v>0</v>
      </c>
      <c r="I336" s="11">
        <v>0</v>
      </c>
      <c r="J336" s="11">
        <v>220000</v>
      </c>
      <c r="K336" s="11">
        <v>5521000</v>
      </c>
      <c r="L336" s="11">
        <v>14051500</v>
      </c>
      <c r="M336" s="11">
        <v>19713400</v>
      </c>
      <c r="N336" s="11">
        <v>0</v>
      </c>
    </row>
    <row r="337" spans="1:14" x14ac:dyDescent="0.3">
      <c r="A337" s="10">
        <v>46020</v>
      </c>
      <c r="B337" t="s">
        <v>19</v>
      </c>
      <c r="C337" t="str">
        <f t="shared" si="16"/>
        <v>342856178337</v>
      </c>
      <c r="D337" t="str">
        <f t="shared" si="17"/>
        <v>Client337</v>
      </c>
      <c r="E337" t="str">
        <f t="shared" si="15"/>
        <v>BOB337</v>
      </c>
      <c r="F337" t="s">
        <v>32</v>
      </c>
      <c r="G337" s="11" t="s">
        <v>22</v>
      </c>
      <c r="H337" s="11">
        <v>0</v>
      </c>
      <c r="I337" s="11">
        <v>0</v>
      </c>
      <c r="J337" s="11">
        <v>0</v>
      </c>
      <c r="K337" s="11">
        <v>0</v>
      </c>
      <c r="L337" s="11">
        <v>15171200</v>
      </c>
      <c r="M337" s="11">
        <v>15904300</v>
      </c>
      <c r="N337" s="11">
        <v>0</v>
      </c>
    </row>
    <row r="338" spans="1:14" x14ac:dyDescent="0.3">
      <c r="A338" s="10">
        <v>46020</v>
      </c>
      <c r="B338" t="s">
        <v>19</v>
      </c>
      <c r="C338" t="str">
        <f t="shared" si="16"/>
        <v>342856178338</v>
      </c>
      <c r="D338" t="str">
        <f t="shared" si="17"/>
        <v>Client338</v>
      </c>
      <c r="E338" t="str">
        <f t="shared" si="15"/>
        <v>BOB338</v>
      </c>
      <c r="F338" t="s">
        <v>21</v>
      </c>
      <c r="G338" s="11" t="s">
        <v>22</v>
      </c>
      <c r="H338" s="11">
        <v>0</v>
      </c>
      <c r="I338" s="11">
        <v>0</v>
      </c>
      <c r="J338" s="11">
        <v>0</v>
      </c>
      <c r="K338" s="11">
        <v>2520500</v>
      </c>
      <c r="L338" s="11">
        <v>3317400</v>
      </c>
      <c r="M338" s="11">
        <v>5950600</v>
      </c>
      <c r="N338" s="11">
        <v>0</v>
      </c>
    </row>
    <row r="339" spans="1:14" x14ac:dyDescent="0.3">
      <c r="A339" s="10">
        <v>46020</v>
      </c>
      <c r="B339" t="s">
        <v>19</v>
      </c>
      <c r="C339" t="str">
        <f t="shared" si="16"/>
        <v>342856178339</v>
      </c>
      <c r="D339" t="str">
        <f t="shared" si="17"/>
        <v>Client339</v>
      </c>
      <c r="E339" t="str">
        <f t="shared" si="15"/>
        <v>BOB339</v>
      </c>
      <c r="G339" s="11"/>
      <c r="H339" s="11">
        <v>0</v>
      </c>
      <c r="I339" s="11">
        <v>0</v>
      </c>
      <c r="J339" s="11">
        <v>200000</v>
      </c>
      <c r="K339" s="11">
        <v>0</v>
      </c>
      <c r="L339" s="11">
        <v>3493500</v>
      </c>
      <c r="M339" s="11">
        <v>2933000</v>
      </c>
      <c r="N339" s="11">
        <v>0</v>
      </c>
    </row>
    <row r="340" spans="1:14" x14ac:dyDescent="0.3">
      <c r="A340" s="10">
        <v>46020</v>
      </c>
      <c r="B340" t="s">
        <v>19</v>
      </c>
      <c r="C340" t="str">
        <f t="shared" si="16"/>
        <v>342856178340</v>
      </c>
      <c r="D340" t="str">
        <f t="shared" si="17"/>
        <v>Client340</v>
      </c>
      <c r="E340" t="str">
        <f t="shared" si="15"/>
        <v>BOB340</v>
      </c>
      <c r="F340" t="s">
        <v>32</v>
      </c>
      <c r="G340" s="11" t="s">
        <v>22</v>
      </c>
      <c r="H340" s="11">
        <v>0</v>
      </c>
      <c r="I340" s="11">
        <v>0</v>
      </c>
      <c r="J340" s="11">
        <v>0</v>
      </c>
      <c r="K340" s="11">
        <v>0</v>
      </c>
      <c r="L340" s="11">
        <v>10300</v>
      </c>
      <c r="M340" s="11">
        <v>0</v>
      </c>
      <c r="N340" s="11">
        <v>0</v>
      </c>
    </row>
    <row r="341" spans="1:14" x14ac:dyDescent="0.3">
      <c r="A341" s="10">
        <v>46020</v>
      </c>
      <c r="B341" t="s">
        <v>19</v>
      </c>
      <c r="C341" t="str">
        <f t="shared" si="16"/>
        <v>342856178341</v>
      </c>
      <c r="D341" t="str">
        <f t="shared" si="17"/>
        <v>Client341</v>
      </c>
      <c r="E341" t="str">
        <f t="shared" si="15"/>
        <v>BOB341</v>
      </c>
      <c r="F341" t="s">
        <v>32</v>
      </c>
      <c r="G341" s="11" t="s">
        <v>22</v>
      </c>
      <c r="H341" s="11">
        <v>0</v>
      </c>
      <c r="I341" s="11">
        <v>0</v>
      </c>
      <c r="J341" s="11">
        <v>0</v>
      </c>
      <c r="K341" s="11">
        <v>0</v>
      </c>
      <c r="L341" s="11">
        <v>0</v>
      </c>
      <c r="M341" s="11">
        <v>9500</v>
      </c>
      <c r="N341" s="11">
        <v>0</v>
      </c>
    </row>
    <row r="342" spans="1:14" x14ac:dyDescent="0.3">
      <c r="A342" s="10">
        <v>46020</v>
      </c>
      <c r="B342" t="s">
        <v>19</v>
      </c>
      <c r="C342" t="str">
        <f t="shared" si="16"/>
        <v>342856178342</v>
      </c>
      <c r="D342" t="str">
        <f t="shared" si="17"/>
        <v>Client342</v>
      </c>
      <c r="E342" t="str">
        <f t="shared" si="15"/>
        <v>BOB342</v>
      </c>
      <c r="F342" t="s">
        <v>68</v>
      </c>
      <c r="G342" s="11" t="s">
        <v>22</v>
      </c>
      <c r="H342" s="11">
        <v>0</v>
      </c>
      <c r="I342" s="11">
        <v>0</v>
      </c>
      <c r="J342" s="11">
        <v>3000000</v>
      </c>
      <c r="K342" s="11">
        <v>0</v>
      </c>
      <c r="L342" s="11">
        <v>8351000</v>
      </c>
      <c r="M342" s="11">
        <v>5634500</v>
      </c>
      <c r="N342" s="11">
        <v>0</v>
      </c>
    </row>
    <row r="343" spans="1:14" x14ac:dyDescent="0.3">
      <c r="A343" s="10">
        <v>46020</v>
      </c>
      <c r="B343" t="s">
        <v>19</v>
      </c>
      <c r="C343" t="str">
        <f t="shared" si="16"/>
        <v>342856178343</v>
      </c>
      <c r="D343" t="str">
        <f t="shared" si="17"/>
        <v>Client343</v>
      </c>
      <c r="E343" t="str">
        <f t="shared" si="15"/>
        <v>BOB343</v>
      </c>
      <c r="F343" t="s">
        <v>32</v>
      </c>
      <c r="G343" s="11" t="s">
        <v>22</v>
      </c>
      <c r="H343" s="11">
        <v>0</v>
      </c>
      <c r="I343" s="11">
        <v>0</v>
      </c>
      <c r="J343" s="11">
        <v>0</v>
      </c>
      <c r="K343" s="11">
        <v>0</v>
      </c>
      <c r="L343" s="11">
        <v>34222300</v>
      </c>
      <c r="M343" s="11">
        <v>42382400</v>
      </c>
      <c r="N343" s="11">
        <v>0</v>
      </c>
    </row>
    <row r="344" spans="1:14" x14ac:dyDescent="0.3">
      <c r="A344" s="10">
        <v>46020</v>
      </c>
      <c r="B344" t="s">
        <v>19</v>
      </c>
      <c r="C344" t="str">
        <f t="shared" si="16"/>
        <v>342856178344</v>
      </c>
      <c r="D344" t="str">
        <f t="shared" si="17"/>
        <v>Client344</v>
      </c>
      <c r="E344" t="str">
        <f t="shared" si="15"/>
        <v>BOB344</v>
      </c>
      <c r="F344" t="s">
        <v>30</v>
      </c>
      <c r="G344" s="11" t="s">
        <v>84</v>
      </c>
      <c r="H344" s="11">
        <v>0</v>
      </c>
      <c r="I344" s="11">
        <v>0</v>
      </c>
      <c r="J344" s="11">
        <v>0</v>
      </c>
      <c r="K344" s="11">
        <v>200000</v>
      </c>
      <c r="L344" s="11">
        <v>22000</v>
      </c>
      <c r="M344" s="11">
        <v>39000</v>
      </c>
      <c r="N344" s="11">
        <v>0</v>
      </c>
    </row>
    <row r="345" spans="1:14" x14ac:dyDescent="0.3">
      <c r="A345" s="10">
        <v>46020</v>
      </c>
      <c r="B345" t="s">
        <v>19</v>
      </c>
      <c r="C345" t="str">
        <f t="shared" si="16"/>
        <v>342856178345</v>
      </c>
      <c r="D345" t="str">
        <f t="shared" si="17"/>
        <v>Client345</v>
      </c>
      <c r="E345" t="str">
        <f t="shared" si="15"/>
        <v>BOB345</v>
      </c>
      <c r="F345" t="s">
        <v>21</v>
      </c>
      <c r="G345" s="11" t="s">
        <v>22</v>
      </c>
      <c r="H345" s="11">
        <v>0</v>
      </c>
      <c r="I345" s="11">
        <v>0</v>
      </c>
      <c r="J345" s="11">
        <v>0</v>
      </c>
      <c r="K345" s="11">
        <v>0</v>
      </c>
      <c r="L345" s="11">
        <v>2783900</v>
      </c>
      <c r="M345" s="11">
        <v>2976600</v>
      </c>
      <c r="N345" s="11">
        <v>0</v>
      </c>
    </row>
    <row r="346" spans="1:14" x14ac:dyDescent="0.3">
      <c r="A346" s="10">
        <v>46020</v>
      </c>
      <c r="B346" t="s">
        <v>19</v>
      </c>
      <c r="C346" t="str">
        <f t="shared" si="16"/>
        <v>342856178346</v>
      </c>
      <c r="D346" t="str">
        <f t="shared" si="17"/>
        <v>Client346</v>
      </c>
      <c r="E346" t="str">
        <f t="shared" si="15"/>
        <v>BOB346</v>
      </c>
      <c r="F346" t="s">
        <v>21</v>
      </c>
      <c r="G346" s="11" t="s">
        <v>22</v>
      </c>
      <c r="H346" s="11">
        <v>0</v>
      </c>
      <c r="I346" s="11">
        <v>0</v>
      </c>
      <c r="J346" s="11">
        <v>5000000</v>
      </c>
      <c r="K346" s="11">
        <v>3510000</v>
      </c>
      <c r="L346" s="11">
        <v>5013600</v>
      </c>
      <c r="M346" s="11">
        <v>3130000</v>
      </c>
      <c r="N346" s="11">
        <v>0</v>
      </c>
    </row>
    <row r="347" spans="1:14" x14ac:dyDescent="0.3">
      <c r="A347" s="10">
        <v>46020</v>
      </c>
      <c r="B347" t="s">
        <v>19</v>
      </c>
      <c r="C347" t="str">
        <f t="shared" si="16"/>
        <v>342856178347</v>
      </c>
      <c r="D347" t="str">
        <f t="shared" si="17"/>
        <v>Client347</v>
      </c>
      <c r="E347" t="str">
        <f t="shared" si="15"/>
        <v>BOB347</v>
      </c>
      <c r="F347" t="s">
        <v>32</v>
      </c>
      <c r="G347" s="11" t="s">
        <v>22</v>
      </c>
      <c r="H347" s="11">
        <v>0</v>
      </c>
      <c r="I347" s="11">
        <v>0</v>
      </c>
      <c r="J347" s="11">
        <v>0</v>
      </c>
      <c r="K347" s="11">
        <v>0</v>
      </c>
      <c r="L347" s="11">
        <v>9837100</v>
      </c>
      <c r="M347" s="11">
        <v>10033700</v>
      </c>
      <c r="N347" s="11">
        <v>0</v>
      </c>
    </row>
    <row r="348" spans="1:14" x14ac:dyDescent="0.3">
      <c r="A348" s="10">
        <v>46020</v>
      </c>
      <c r="B348" t="s">
        <v>19</v>
      </c>
      <c r="C348" t="str">
        <f t="shared" si="16"/>
        <v>342856178348</v>
      </c>
      <c r="D348" t="str">
        <f t="shared" si="17"/>
        <v>Client348</v>
      </c>
      <c r="E348" t="str">
        <f t="shared" si="15"/>
        <v>BOB348</v>
      </c>
      <c r="F348" t="s">
        <v>26</v>
      </c>
      <c r="G348" s="11" t="s">
        <v>27</v>
      </c>
      <c r="H348" s="11">
        <v>0</v>
      </c>
      <c r="I348" s="11">
        <v>0</v>
      </c>
      <c r="J348" s="11">
        <v>0</v>
      </c>
      <c r="K348" s="11">
        <v>2502500</v>
      </c>
      <c r="L348" s="11">
        <v>1795500</v>
      </c>
      <c r="M348" s="11">
        <v>5884000</v>
      </c>
      <c r="N348" s="11">
        <v>0</v>
      </c>
    </row>
    <row r="349" spans="1:14" x14ac:dyDescent="0.3">
      <c r="A349" s="10">
        <v>46020</v>
      </c>
      <c r="B349" t="s">
        <v>19</v>
      </c>
      <c r="C349" t="str">
        <f t="shared" si="16"/>
        <v>342856178349</v>
      </c>
      <c r="D349" t="str">
        <f t="shared" si="17"/>
        <v>Client349</v>
      </c>
      <c r="E349" t="str">
        <f t="shared" si="15"/>
        <v>BOB349</v>
      </c>
      <c r="F349" t="s">
        <v>26</v>
      </c>
      <c r="G349" s="11" t="s">
        <v>27</v>
      </c>
      <c r="H349" s="11">
        <v>0</v>
      </c>
      <c r="I349" s="11">
        <v>0</v>
      </c>
      <c r="J349" s="11">
        <v>0</v>
      </c>
      <c r="K349" s="11">
        <v>0</v>
      </c>
      <c r="L349" s="11">
        <v>643400</v>
      </c>
      <c r="M349" s="11">
        <v>422700</v>
      </c>
      <c r="N349" s="11">
        <v>0</v>
      </c>
    </row>
    <row r="350" spans="1:14" x14ac:dyDescent="0.3">
      <c r="A350" s="10">
        <v>46020</v>
      </c>
      <c r="B350" t="s">
        <v>19</v>
      </c>
      <c r="C350" t="str">
        <f t="shared" si="16"/>
        <v>342856178350</v>
      </c>
      <c r="D350" t="str">
        <f t="shared" si="17"/>
        <v>Client350</v>
      </c>
      <c r="E350" t="str">
        <f t="shared" si="15"/>
        <v>BOB350</v>
      </c>
      <c r="F350" t="s">
        <v>32</v>
      </c>
      <c r="G350" s="11" t="s">
        <v>22</v>
      </c>
      <c r="H350" s="11">
        <v>0</v>
      </c>
      <c r="I350" s="11">
        <v>0</v>
      </c>
      <c r="J350" s="11">
        <v>3100000</v>
      </c>
      <c r="K350" s="11">
        <v>2100000</v>
      </c>
      <c r="L350" s="11">
        <v>16710400</v>
      </c>
      <c r="M350" s="11">
        <v>16220400</v>
      </c>
      <c r="N350" s="11">
        <v>0</v>
      </c>
    </row>
    <row r="351" spans="1:14" x14ac:dyDescent="0.3">
      <c r="A351" s="10">
        <v>46020</v>
      </c>
      <c r="B351" t="s">
        <v>19</v>
      </c>
      <c r="C351" t="str">
        <f t="shared" si="16"/>
        <v>342856178351</v>
      </c>
      <c r="D351" t="str">
        <f t="shared" si="17"/>
        <v>Client351</v>
      </c>
      <c r="E351" t="str">
        <f t="shared" si="15"/>
        <v>BOB351</v>
      </c>
      <c r="F351" t="s">
        <v>32</v>
      </c>
      <c r="G351" s="11" t="s">
        <v>22</v>
      </c>
      <c r="H351" s="11">
        <v>0</v>
      </c>
      <c r="I351" s="11">
        <v>0</v>
      </c>
      <c r="J351" s="11">
        <v>0</v>
      </c>
      <c r="K351" s="11">
        <v>0</v>
      </c>
      <c r="L351" s="11">
        <v>39077900</v>
      </c>
      <c r="M351" s="11">
        <v>43225300</v>
      </c>
      <c r="N351" s="11">
        <v>2000000</v>
      </c>
    </row>
    <row r="352" spans="1:14" x14ac:dyDescent="0.3">
      <c r="A352" s="10">
        <v>46020</v>
      </c>
      <c r="B352" t="s">
        <v>19</v>
      </c>
      <c r="C352" t="str">
        <f t="shared" si="16"/>
        <v>342856178352</v>
      </c>
      <c r="D352" t="str">
        <f t="shared" si="17"/>
        <v>Client352</v>
      </c>
      <c r="E352" t="str">
        <f t="shared" si="15"/>
        <v>BOB352</v>
      </c>
      <c r="G352" s="11"/>
      <c r="H352" s="11">
        <v>0</v>
      </c>
      <c r="I352" s="11">
        <v>0</v>
      </c>
      <c r="J352" s="11">
        <v>0</v>
      </c>
      <c r="K352" s="11">
        <v>481500</v>
      </c>
      <c r="L352" s="11">
        <v>264600</v>
      </c>
      <c r="M352" s="11">
        <v>431300</v>
      </c>
      <c r="N352" s="11">
        <v>0</v>
      </c>
    </row>
    <row r="353" spans="1:14" x14ac:dyDescent="0.3">
      <c r="A353" s="10">
        <v>46020</v>
      </c>
      <c r="B353" t="s">
        <v>19</v>
      </c>
      <c r="C353" t="str">
        <f t="shared" si="16"/>
        <v>342856178353</v>
      </c>
      <c r="D353" t="str">
        <f t="shared" si="17"/>
        <v>Client353</v>
      </c>
      <c r="E353" t="str">
        <f t="shared" si="15"/>
        <v>BOB353</v>
      </c>
      <c r="G353" s="11"/>
      <c r="H353" s="11">
        <v>0</v>
      </c>
      <c r="I353" s="11">
        <v>0</v>
      </c>
      <c r="J353" s="11">
        <v>0</v>
      </c>
      <c r="K353" s="11">
        <v>0</v>
      </c>
      <c r="L353" s="11">
        <v>0</v>
      </c>
      <c r="M353" s="11">
        <v>0</v>
      </c>
      <c r="N353" s="11">
        <v>0</v>
      </c>
    </row>
    <row r="354" spans="1:14" x14ac:dyDescent="0.3">
      <c r="A354" s="10">
        <v>46020</v>
      </c>
      <c r="B354" t="s">
        <v>19</v>
      </c>
      <c r="C354" t="str">
        <f t="shared" si="16"/>
        <v>342856178354</v>
      </c>
      <c r="D354" t="str">
        <f t="shared" si="17"/>
        <v>Client354</v>
      </c>
      <c r="E354" t="str">
        <f t="shared" si="15"/>
        <v>BOB354</v>
      </c>
      <c r="F354" t="s">
        <v>24</v>
      </c>
      <c r="G354" s="11" t="s">
        <v>22</v>
      </c>
      <c r="H354" s="11">
        <v>0</v>
      </c>
      <c r="I354" s="11">
        <v>0</v>
      </c>
      <c r="J354" s="11">
        <v>0</v>
      </c>
      <c r="K354" s="11">
        <v>5000000</v>
      </c>
      <c r="L354" s="11">
        <v>5795100</v>
      </c>
      <c r="M354" s="11">
        <v>10008100</v>
      </c>
      <c r="N354" s="11">
        <v>0</v>
      </c>
    </row>
    <row r="355" spans="1:14" x14ac:dyDescent="0.3">
      <c r="A355" s="10">
        <v>46020</v>
      </c>
      <c r="B355" t="s">
        <v>19</v>
      </c>
      <c r="C355" t="str">
        <f t="shared" si="16"/>
        <v>342856178355</v>
      </c>
      <c r="D355" t="str">
        <f t="shared" si="17"/>
        <v>Client355</v>
      </c>
      <c r="E355" t="str">
        <f t="shared" si="15"/>
        <v>BOB355</v>
      </c>
      <c r="F355" t="s">
        <v>30</v>
      </c>
      <c r="G355" s="11" t="s">
        <v>22</v>
      </c>
      <c r="H355" s="11">
        <v>0</v>
      </c>
      <c r="I355" s="11">
        <v>0</v>
      </c>
      <c r="J355" s="11">
        <v>0</v>
      </c>
      <c r="K355" s="11">
        <v>0</v>
      </c>
      <c r="L355" s="11">
        <v>488400</v>
      </c>
      <c r="M355" s="11">
        <v>784000</v>
      </c>
      <c r="N355" s="11">
        <v>0</v>
      </c>
    </row>
    <row r="356" spans="1:14" x14ac:dyDescent="0.3">
      <c r="A356" s="10">
        <v>46020</v>
      </c>
      <c r="B356" t="s">
        <v>19</v>
      </c>
      <c r="C356" t="str">
        <f t="shared" si="16"/>
        <v>342856178356</v>
      </c>
      <c r="D356" t="str">
        <f t="shared" si="17"/>
        <v>Client356</v>
      </c>
      <c r="E356" t="str">
        <f t="shared" si="15"/>
        <v>BOB356</v>
      </c>
      <c r="F356" t="s">
        <v>26</v>
      </c>
      <c r="G356" s="11" t="s">
        <v>27</v>
      </c>
      <c r="H356" s="11">
        <v>0</v>
      </c>
      <c r="I356" s="11">
        <v>0</v>
      </c>
      <c r="J356" s="11">
        <v>0</v>
      </c>
      <c r="K356" s="11">
        <v>0</v>
      </c>
      <c r="L356" s="11">
        <v>0</v>
      </c>
      <c r="M356" s="11">
        <v>0</v>
      </c>
      <c r="N356" s="11">
        <v>0</v>
      </c>
    </row>
    <row r="357" spans="1:14" x14ac:dyDescent="0.3">
      <c r="A357" s="10">
        <v>46020</v>
      </c>
      <c r="B357" t="s">
        <v>19</v>
      </c>
      <c r="C357" t="str">
        <f t="shared" si="16"/>
        <v>342856178357</v>
      </c>
      <c r="D357" t="str">
        <f t="shared" si="17"/>
        <v>Client357</v>
      </c>
      <c r="E357" t="str">
        <f t="shared" si="15"/>
        <v>BOB357</v>
      </c>
      <c r="F357" t="s">
        <v>21</v>
      </c>
      <c r="G357" s="11" t="s">
        <v>22</v>
      </c>
      <c r="H357" s="11">
        <v>0</v>
      </c>
      <c r="I357" s="11">
        <v>0</v>
      </c>
      <c r="J357" s="11">
        <v>0</v>
      </c>
      <c r="K357" s="11">
        <v>2000000</v>
      </c>
      <c r="L357" s="11">
        <v>6317300</v>
      </c>
      <c r="M357" s="11">
        <v>8417400</v>
      </c>
      <c r="N357" s="11">
        <v>0</v>
      </c>
    </row>
    <row r="358" spans="1:14" x14ac:dyDescent="0.3">
      <c r="A358" s="10">
        <v>46020</v>
      </c>
      <c r="B358" t="s">
        <v>19</v>
      </c>
      <c r="C358" t="str">
        <f t="shared" si="16"/>
        <v>342856178358</v>
      </c>
      <c r="D358" t="str">
        <f t="shared" si="17"/>
        <v>Client358</v>
      </c>
      <c r="E358" t="str">
        <f t="shared" si="15"/>
        <v>BOB358</v>
      </c>
      <c r="F358" t="s">
        <v>26</v>
      </c>
      <c r="G358" s="11" t="s">
        <v>27</v>
      </c>
      <c r="H358" s="11">
        <v>0</v>
      </c>
      <c r="I358" s="11">
        <v>0</v>
      </c>
      <c r="J358" s="11">
        <v>0</v>
      </c>
      <c r="K358" s="11">
        <v>1001000</v>
      </c>
      <c r="L358" s="11">
        <v>2823000</v>
      </c>
      <c r="M358" s="11">
        <v>3145500</v>
      </c>
      <c r="N358" s="11">
        <v>0</v>
      </c>
    </row>
    <row r="359" spans="1:14" x14ac:dyDescent="0.3">
      <c r="A359" s="10">
        <v>46020</v>
      </c>
      <c r="B359" t="s">
        <v>19</v>
      </c>
      <c r="C359" t="str">
        <f t="shared" si="16"/>
        <v>342856178359</v>
      </c>
      <c r="D359" t="str">
        <f t="shared" si="17"/>
        <v>Client359</v>
      </c>
      <c r="E359" t="str">
        <f t="shared" si="15"/>
        <v>BOB359</v>
      </c>
      <c r="G359" s="11"/>
      <c r="H359" s="11">
        <v>0</v>
      </c>
      <c r="I359" s="11">
        <v>0</v>
      </c>
      <c r="J359" s="11">
        <v>0</v>
      </c>
      <c r="K359" s="11">
        <v>0</v>
      </c>
      <c r="L359" s="11">
        <v>0</v>
      </c>
      <c r="M359" s="11">
        <v>0</v>
      </c>
      <c r="N359" s="11">
        <v>0</v>
      </c>
    </row>
    <row r="360" spans="1:14" x14ac:dyDescent="0.3">
      <c r="A360" s="10">
        <v>46020</v>
      </c>
      <c r="B360" t="s">
        <v>19</v>
      </c>
      <c r="C360" t="str">
        <f t="shared" si="16"/>
        <v>342856178360</v>
      </c>
      <c r="D360" t="str">
        <f t="shared" si="17"/>
        <v>Client360</v>
      </c>
      <c r="E360" t="str">
        <f t="shared" si="15"/>
        <v>BOB360</v>
      </c>
      <c r="G360" s="11"/>
      <c r="H360" s="11">
        <v>0</v>
      </c>
      <c r="I360" s="11">
        <v>0</v>
      </c>
      <c r="J360" s="11">
        <v>0</v>
      </c>
      <c r="K360" s="11">
        <v>2000000</v>
      </c>
      <c r="L360" s="11">
        <v>5282800</v>
      </c>
      <c r="M360" s="11">
        <v>7691900</v>
      </c>
      <c r="N360" s="11">
        <v>0</v>
      </c>
    </row>
    <row r="361" spans="1:14" x14ac:dyDescent="0.3">
      <c r="A361" s="10">
        <v>46020</v>
      </c>
      <c r="B361" t="s">
        <v>19</v>
      </c>
      <c r="C361" t="str">
        <f t="shared" si="16"/>
        <v>342856178361</v>
      </c>
      <c r="D361" t="str">
        <f t="shared" si="17"/>
        <v>Client361</v>
      </c>
      <c r="E361" t="str">
        <f t="shared" si="15"/>
        <v>BOB361</v>
      </c>
      <c r="F361" t="s">
        <v>21</v>
      </c>
      <c r="G361" s="11" t="s">
        <v>22</v>
      </c>
      <c r="H361" s="11">
        <v>0</v>
      </c>
      <c r="I361" s="11">
        <v>0</v>
      </c>
      <c r="J361" s="11">
        <v>0</v>
      </c>
      <c r="K361" s="11">
        <v>0</v>
      </c>
      <c r="L361" s="11">
        <v>0</v>
      </c>
      <c r="M361" s="11">
        <v>0</v>
      </c>
      <c r="N361" s="11">
        <v>0</v>
      </c>
    </row>
    <row r="362" spans="1:14" x14ac:dyDescent="0.3">
      <c r="A362" s="10">
        <v>46020</v>
      </c>
      <c r="B362" t="s">
        <v>19</v>
      </c>
      <c r="C362" t="str">
        <f t="shared" si="16"/>
        <v>342856178362</v>
      </c>
      <c r="D362" t="str">
        <f t="shared" si="17"/>
        <v>Client362</v>
      </c>
      <c r="E362" t="str">
        <f t="shared" si="15"/>
        <v>BOB362</v>
      </c>
      <c r="G362" s="11"/>
      <c r="H362" s="11">
        <v>0</v>
      </c>
      <c r="I362" s="11">
        <v>0</v>
      </c>
      <c r="J362" s="11">
        <v>0</v>
      </c>
      <c r="K362" s="11">
        <v>0</v>
      </c>
      <c r="L362" s="11">
        <v>6261200</v>
      </c>
      <c r="M362" s="11">
        <v>6399800</v>
      </c>
      <c r="N362" s="11">
        <v>0</v>
      </c>
    </row>
    <row r="363" spans="1:14" x14ac:dyDescent="0.3">
      <c r="A363" s="10">
        <v>46020</v>
      </c>
      <c r="B363" t="s">
        <v>19</v>
      </c>
      <c r="C363" t="str">
        <f t="shared" si="16"/>
        <v>342856178363</v>
      </c>
      <c r="D363" t="str">
        <f t="shared" si="17"/>
        <v>Client363</v>
      </c>
      <c r="E363" t="str">
        <f t="shared" si="15"/>
        <v>BOB363</v>
      </c>
      <c r="F363" t="s">
        <v>32</v>
      </c>
      <c r="G363" s="11" t="s">
        <v>22</v>
      </c>
      <c r="H363" s="11">
        <v>0</v>
      </c>
      <c r="I363" s="11">
        <v>0</v>
      </c>
      <c r="J363" s="11">
        <v>0</v>
      </c>
      <c r="K363" s="11">
        <v>0</v>
      </c>
      <c r="L363" s="11">
        <v>2500000</v>
      </c>
      <c r="M363" s="11">
        <v>0</v>
      </c>
      <c r="N363" s="11">
        <v>0</v>
      </c>
    </row>
    <row r="364" spans="1:14" x14ac:dyDescent="0.3">
      <c r="A364" s="10">
        <v>46020</v>
      </c>
      <c r="B364" t="s">
        <v>19</v>
      </c>
      <c r="C364" t="str">
        <f t="shared" si="16"/>
        <v>342856178364</v>
      </c>
      <c r="D364" t="str">
        <f t="shared" si="17"/>
        <v>Client364</v>
      </c>
      <c r="E364" t="str">
        <f t="shared" si="15"/>
        <v>BOB364</v>
      </c>
      <c r="F364" t="s">
        <v>32</v>
      </c>
      <c r="G364" s="11" t="s">
        <v>22</v>
      </c>
      <c r="H364" s="11">
        <v>0</v>
      </c>
      <c r="I364" s="11">
        <v>0</v>
      </c>
      <c r="J364" s="11">
        <v>0</v>
      </c>
      <c r="K364" s="11">
        <v>0</v>
      </c>
      <c r="L364" s="11">
        <v>16615400</v>
      </c>
      <c r="M364" s="11">
        <v>17286400</v>
      </c>
      <c r="N364" s="11">
        <v>0</v>
      </c>
    </row>
    <row r="365" spans="1:14" x14ac:dyDescent="0.3">
      <c r="A365" s="10">
        <v>46020</v>
      </c>
      <c r="B365" t="s">
        <v>19</v>
      </c>
      <c r="C365" t="str">
        <f t="shared" si="16"/>
        <v>342856178365</v>
      </c>
      <c r="D365" t="str">
        <f t="shared" si="17"/>
        <v>Client365</v>
      </c>
      <c r="E365" t="str">
        <f t="shared" si="15"/>
        <v>BOB365</v>
      </c>
      <c r="F365" t="s">
        <v>32</v>
      </c>
      <c r="G365" s="11" t="s">
        <v>22</v>
      </c>
      <c r="H365" s="11">
        <v>0</v>
      </c>
      <c r="I365" s="11">
        <v>0</v>
      </c>
      <c r="J365" s="11">
        <v>0</v>
      </c>
      <c r="K365" s="11">
        <v>0</v>
      </c>
      <c r="L365" s="11">
        <v>32982600</v>
      </c>
      <c r="M365" s="11">
        <v>32799800</v>
      </c>
      <c r="N365" s="11">
        <v>0</v>
      </c>
    </row>
    <row r="366" spans="1:14" x14ac:dyDescent="0.3">
      <c r="A366" s="10">
        <v>46020</v>
      </c>
      <c r="B366" t="s">
        <v>19</v>
      </c>
      <c r="C366" t="str">
        <f t="shared" si="16"/>
        <v>342856178366</v>
      </c>
      <c r="D366" t="str">
        <f t="shared" si="17"/>
        <v>Client366</v>
      </c>
      <c r="E366" t="str">
        <f t="shared" si="15"/>
        <v>BOB366</v>
      </c>
      <c r="F366" t="s">
        <v>30</v>
      </c>
      <c r="G366" s="11" t="s">
        <v>22</v>
      </c>
      <c r="H366" s="11">
        <v>0</v>
      </c>
      <c r="I366" s="11">
        <v>0</v>
      </c>
      <c r="J366" s="11">
        <v>111025000</v>
      </c>
      <c r="K366" s="11">
        <v>6663000</v>
      </c>
      <c r="L366" s="11">
        <v>116498700</v>
      </c>
      <c r="M366" s="11">
        <v>12214000</v>
      </c>
      <c r="N366" s="11">
        <v>0</v>
      </c>
    </row>
    <row r="367" spans="1:14" x14ac:dyDescent="0.3">
      <c r="A367" s="10">
        <v>46020</v>
      </c>
      <c r="B367" t="s">
        <v>19</v>
      </c>
      <c r="C367" t="str">
        <f t="shared" si="16"/>
        <v>342856178367</v>
      </c>
      <c r="D367" t="str">
        <f t="shared" si="17"/>
        <v>Client367</v>
      </c>
      <c r="E367" t="str">
        <f t="shared" si="15"/>
        <v>BOB367</v>
      </c>
      <c r="F367" t="s">
        <v>21</v>
      </c>
      <c r="G367" s="11" t="s">
        <v>22</v>
      </c>
      <c r="H367" s="11">
        <v>0</v>
      </c>
      <c r="I367" s="11">
        <v>0</v>
      </c>
      <c r="J367" s="11">
        <v>0</v>
      </c>
      <c r="K367" s="11">
        <v>0</v>
      </c>
      <c r="L367" s="11">
        <v>0</v>
      </c>
      <c r="M367" s="11">
        <v>0</v>
      </c>
      <c r="N367" s="11">
        <v>0</v>
      </c>
    </row>
    <row r="368" spans="1:14" x14ac:dyDescent="0.3">
      <c r="A368" s="10">
        <v>46020</v>
      </c>
      <c r="B368" t="s">
        <v>19</v>
      </c>
      <c r="C368" t="str">
        <f t="shared" si="16"/>
        <v>342856178368</v>
      </c>
      <c r="D368" t="str">
        <f t="shared" si="17"/>
        <v>Client368</v>
      </c>
      <c r="E368" t="str">
        <f t="shared" si="15"/>
        <v>BOB368</v>
      </c>
      <c r="F368" t="s">
        <v>21</v>
      </c>
      <c r="G368" s="11" t="s">
        <v>22</v>
      </c>
      <c r="H368" s="11">
        <v>0</v>
      </c>
      <c r="I368" s="11">
        <v>0</v>
      </c>
      <c r="J368" s="11">
        <v>27635000</v>
      </c>
      <c r="K368" s="11">
        <v>200000</v>
      </c>
      <c r="L368" s="11">
        <v>27519500</v>
      </c>
      <c r="M368" s="11">
        <v>0</v>
      </c>
      <c r="N368" s="11">
        <v>0</v>
      </c>
    </row>
    <row r="369" spans="1:14" x14ac:dyDescent="0.3">
      <c r="A369" s="10">
        <v>46020</v>
      </c>
      <c r="B369" t="s">
        <v>19</v>
      </c>
      <c r="C369" t="str">
        <f t="shared" si="16"/>
        <v>342856178369</v>
      </c>
      <c r="D369" t="str">
        <f t="shared" si="17"/>
        <v>Client369</v>
      </c>
      <c r="E369" t="str">
        <f t="shared" si="15"/>
        <v>BOB369</v>
      </c>
      <c r="G369" s="11"/>
      <c r="H369" s="11">
        <v>0</v>
      </c>
      <c r="I369" s="11">
        <v>0</v>
      </c>
      <c r="J369" s="11">
        <v>0</v>
      </c>
      <c r="K369" s="11">
        <v>0</v>
      </c>
      <c r="L369" s="11">
        <v>0</v>
      </c>
      <c r="M369" s="11">
        <v>0</v>
      </c>
      <c r="N369" s="11">
        <v>0</v>
      </c>
    </row>
    <row r="370" spans="1:14" x14ac:dyDescent="0.3">
      <c r="A370" s="10">
        <v>46020</v>
      </c>
      <c r="B370" t="s">
        <v>19</v>
      </c>
      <c r="C370" t="str">
        <f t="shared" si="16"/>
        <v>342856178370</v>
      </c>
      <c r="D370" t="str">
        <f t="shared" si="17"/>
        <v>Client370</v>
      </c>
      <c r="E370" t="str">
        <f t="shared" si="15"/>
        <v>BOB370</v>
      </c>
      <c r="F370" t="s">
        <v>30</v>
      </c>
      <c r="G370" s="11" t="s">
        <v>83</v>
      </c>
      <c r="H370" s="11">
        <v>0</v>
      </c>
      <c r="I370" s="11">
        <v>0</v>
      </c>
      <c r="J370" s="11">
        <v>0</v>
      </c>
      <c r="K370" s="11">
        <v>4108000</v>
      </c>
      <c r="L370" s="11">
        <v>4444500</v>
      </c>
      <c r="M370" s="11">
        <v>8469800</v>
      </c>
      <c r="N370" s="11">
        <v>0</v>
      </c>
    </row>
    <row r="371" spans="1:14" x14ac:dyDescent="0.3">
      <c r="A371" s="10">
        <v>46020</v>
      </c>
      <c r="B371" t="s">
        <v>19</v>
      </c>
      <c r="C371" t="str">
        <f t="shared" si="16"/>
        <v>342856178371</v>
      </c>
      <c r="D371" t="str">
        <f t="shared" si="17"/>
        <v>Client371</v>
      </c>
      <c r="E371" t="str">
        <f t="shared" si="15"/>
        <v>BOB371</v>
      </c>
      <c r="F371" t="s">
        <v>24</v>
      </c>
      <c r="G371" s="11" t="s">
        <v>22</v>
      </c>
      <c r="H371" s="11">
        <v>0</v>
      </c>
      <c r="I371" s="11">
        <v>0</v>
      </c>
      <c r="J371" s="11">
        <v>0</v>
      </c>
      <c r="K371" s="11">
        <v>1500000</v>
      </c>
      <c r="L371" s="11">
        <v>5335800</v>
      </c>
      <c r="M371" s="11">
        <v>7308700</v>
      </c>
      <c r="N371" s="11">
        <v>0</v>
      </c>
    </row>
    <row r="372" spans="1:14" x14ac:dyDescent="0.3">
      <c r="A372" s="10">
        <v>46020</v>
      </c>
      <c r="B372" t="s">
        <v>19</v>
      </c>
      <c r="C372" t="str">
        <f t="shared" si="16"/>
        <v>342856178372</v>
      </c>
      <c r="D372" t="str">
        <f t="shared" si="17"/>
        <v>Client372</v>
      </c>
      <c r="E372" t="str">
        <f t="shared" si="15"/>
        <v>BOB372</v>
      </c>
      <c r="F372" t="s">
        <v>24</v>
      </c>
      <c r="G372" s="11" t="s">
        <v>88</v>
      </c>
      <c r="H372" s="11">
        <v>0</v>
      </c>
      <c r="I372" s="11">
        <v>0</v>
      </c>
      <c r="J372" s="11">
        <v>0</v>
      </c>
      <c r="K372" s="11">
        <v>10580500</v>
      </c>
      <c r="L372" s="11">
        <v>31572600</v>
      </c>
      <c r="M372" s="11">
        <v>41193400</v>
      </c>
      <c r="N372" s="11">
        <v>0</v>
      </c>
    </row>
    <row r="373" spans="1:14" x14ac:dyDescent="0.3">
      <c r="A373" s="10">
        <v>46020</v>
      </c>
      <c r="B373" t="s">
        <v>19</v>
      </c>
      <c r="C373" t="str">
        <f t="shared" si="16"/>
        <v>342856178373</v>
      </c>
      <c r="D373" t="str">
        <f t="shared" si="17"/>
        <v>Client373</v>
      </c>
      <c r="E373" t="str">
        <f t="shared" si="15"/>
        <v>BOB373</v>
      </c>
      <c r="F373" t="s">
        <v>92</v>
      </c>
      <c r="G373" s="11" t="s">
        <v>93</v>
      </c>
      <c r="H373" s="11">
        <v>0</v>
      </c>
      <c r="I373" s="11">
        <v>0</v>
      </c>
      <c r="J373" s="11">
        <v>0</v>
      </c>
      <c r="K373" s="11">
        <v>0</v>
      </c>
      <c r="L373" s="11">
        <v>3859400</v>
      </c>
      <c r="M373" s="11">
        <v>4019800</v>
      </c>
      <c r="N373" s="11">
        <v>0</v>
      </c>
    </row>
    <row r="374" spans="1:14" x14ac:dyDescent="0.3">
      <c r="A374" s="10">
        <v>46020</v>
      </c>
      <c r="B374" t="s">
        <v>19</v>
      </c>
      <c r="C374" t="str">
        <f t="shared" si="16"/>
        <v>342856178374</v>
      </c>
      <c r="D374" t="str">
        <f t="shared" si="17"/>
        <v>Client374</v>
      </c>
      <c r="E374" t="str">
        <f t="shared" si="15"/>
        <v>BOB374</v>
      </c>
      <c r="F374" t="s">
        <v>32</v>
      </c>
      <c r="G374" s="11" t="s">
        <v>22</v>
      </c>
      <c r="H374" s="11">
        <v>0</v>
      </c>
      <c r="I374" s="11">
        <v>0</v>
      </c>
      <c r="J374" s="11">
        <v>0</v>
      </c>
      <c r="K374" s="11">
        <v>0</v>
      </c>
      <c r="L374" s="11">
        <v>0</v>
      </c>
      <c r="M374" s="11">
        <v>0</v>
      </c>
      <c r="N374" s="11">
        <v>0</v>
      </c>
    </row>
    <row r="375" spans="1:14" x14ac:dyDescent="0.3">
      <c r="A375" s="10">
        <v>46020</v>
      </c>
      <c r="B375" t="s">
        <v>19</v>
      </c>
      <c r="C375" t="str">
        <f t="shared" si="16"/>
        <v>342856178375</v>
      </c>
      <c r="D375" t="str">
        <f t="shared" si="17"/>
        <v>Client375</v>
      </c>
      <c r="E375" t="str">
        <f t="shared" si="15"/>
        <v>BOB375</v>
      </c>
      <c r="F375" t="s">
        <v>32</v>
      </c>
      <c r="G375" s="11" t="s">
        <v>22</v>
      </c>
      <c r="H375" s="11">
        <v>0</v>
      </c>
      <c r="I375" s="11">
        <v>0</v>
      </c>
      <c r="J375" s="11">
        <v>0</v>
      </c>
      <c r="K375" s="11">
        <v>0</v>
      </c>
      <c r="L375" s="11">
        <v>3115400</v>
      </c>
      <c r="M375" s="11">
        <v>5557600</v>
      </c>
      <c r="N375" s="11">
        <v>0</v>
      </c>
    </row>
    <row r="376" spans="1:14" x14ac:dyDescent="0.3">
      <c r="A376" s="10">
        <v>46020</v>
      </c>
      <c r="B376" t="s">
        <v>19</v>
      </c>
      <c r="C376" t="str">
        <f t="shared" si="16"/>
        <v>342856178376</v>
      </c>
      <c r="D376" t="str">
        <f t="shared" si="17"/>
        <v>Client376</v>
      </c>
      <c r="E376" t="str">
        <f t="shared" si="15"/>
        <v>BOB376</v>
      </c>
      <c r="G376" s="11"/>
      <c r="H376" s="11">
        <v>0</v>
      </c>
      <c r="I376" s="11">
        <v>0</v>
      </c>
      <c r="J376" s="11">
        <v>0</v>
      </c>
      <c r="K376" s="11">
        <v>0</v>
      </c>
      <c r="L376" s="11">
        <v>0</v>
      </c>
      <c r="M376" s="11">
        <v>0</v>
      </c>
      <c r="N376" s="11">
        <v>0</v>
      </c>
    </row>
    <row r="377" spans="1:14" x14ac:dyDescent="0.3">
      <c r="A377" s="10">
        <v>46020</v>
      </c>
      <c r="B377" t="s">
        <v>19</v>
      </c>
      <c r="C377" t="str">
        <f t="shared" si="16"/>
        <v>342856178377</v>
      </c>
      <c r="D377" t="str">
        <f t="shared" si="17"/>
        <v>Client377</v>
      </c>
      <c r="E377" t="str">
        <f t="shared" si="15"/>
        <v>BOB377</v>
      </c>
      <c r="F377" t="s">
        <v>32</v>
      </c>
      <c r="G377" s="11" t="s">
        <v>22</v>
      </c>
      <c r="H377" s="11">
        <v>0</v>
      </c>
      <c r="I377" s="11">
        <v>0</v>
      </c>
      <c r="J377" s="11">
        <v>0</v>
      </c>
      <c r="K377" s="11">
        <v>0</v>
      </c>
      <c r="L377" s="11">
        <v>39876500</v>
      </c>
      <c r="M377" s="11">
        <v>39260000</v>
      </c>
      <c r="N377" s="11">
        <v>0</v>
      </c>
    </row>
    <row r="378" spans="1:14" x14ac:dyDescent="0.3">
      <c r="A378" s="10">
        <v>46020</v>
      </c>
      <c r="B378" t="s">
        <v>19</v>
      </c>
      <c r="C378" t="str">
        <f t="shared" si="16"/>
        <v>342856178378</v>
      </c>
      <c r="D378" t="str">
        <f t="shared" si="17"/>
        <v>Client378</v>
      </c>
      <c r="E378" t="str">
        <f t="shared" si="15"/>
        <v>BOB378</v>
      </c>
      <c r="F378" t="s">
        <v>26</v>
      </c>
      <c r="G378" s="11" t="s">
        <v>27</v>
      </c>
      <c r="H378" s="11">
        <v>0</v>
      </c>
      <c r="I378" s="11">
        <v>0</v>
      </c>
      <c r="J378" s="11">
        <v>0</v>
      </c>
      <c r="K378" s="11">
        <v>0</v>
      </c>
      <c r="L378" s="11">
        <v>0</v>
      </c>
      <c r="M378" s="11">
        <v>0</v>
      </c>
      <c r="N378" s="11">
        <v>0</v>
      </c>
    </row>
    <row r="379" spans="1:14" x14ac:dyDescent="0.3">
      <c r="A379" s="10">
        <v>46020</v>
      </c>
      <c r="B379" t="s">
        <v>19</v>
      </c>
      <c r="C379" t="str">
        <f t="shared" si="16"/>
        <v>342856178379</v>
      </c>
      <c r="D379" t="str">
        <f t="shared" si="17"/>
        <v>Client379</v>
      </c>
      <c r="E379" t="str">
        <f t="shared" si="15"/>
        <v>BOB379</v>
      </c>
      <c r="F379" t="s">
        <v>21</v>
      </c>
      <c r="G379" s="11" t="s">
        <v>22</v>
      </c>
      <c r="H379" s="11">
        <v>0</v>
      </c>
      <c r="I379" s="11">
        <v>0</v>
      </c>
      <c r="J379" s="11">
        <v>0</v>
      </c>
      <c r="K379" s="11">
        <v>0</v>
      </c>
      <c r="L379" s="11">
        <v>0</v>
      </c>
      <c r="M379" s="11">
        <v>206000</v>
      </c>
      <c r="N379" s="11">
        <v>0</v>
      </c>
    </row>
    <row r="380" spans="1:14" x14ac:dyDescent="0.3">
      <c r="A380" s="10">
        <v>46020</v>
      </c>
      <c r="B380" t="s">
        <v>19</v>
      </c>
      <c r="C380" t="str">
        <f t="shared" si="16"/>
        <v>342856178380</v>
      </c>
      <c r="D380" t="str">
        <f t="shared" si="17"/>
        <v>Client380</v>
      </c>
      <c r="E380" t="str">
        <f t="shared" si="15"/>
        <v>BOB380</v>
      </c>
      <c r="F380" t="s">
        <v>32</v>
      </c>
      <c r="G380" s="11" t="s">
        <v>22</v>
      </c>
      <c r="H380" s="11">
        <v>0</v>
      </c>
      <c r="I380" s="11">
        <v>0</v>
      </c>
      <c r="J380" s="11">
        <v>400000</v>
      </c>
      <c r="K380" s="11">
        <v>3200000</v>
      </c>
      <c r="L380" s="11">
        <v>7876300</v>
      </c>
      <c r="M380" s="11">
        <v>11653400</v>
      </c>
      <c r="N380" s="11">
        <v>0</v>
      </c>
    </row>
    <row r="381" spans="1:14" x14ac:dyDescent="0.3">
      <c r="A381" s="10">
        <v>46020</v>
      </c>
      <c r="B381" t="s">
        <v>19</v>
      </c>
      <c r="C381" t="str">
        <f t="shared" si="16"/>
        <v>342856178381</v>
      </c>
      <c r="D381" t="str">
        <f t="shared" si="17"/>
        <v>Client381</v>
      </c>
      <c r="E381" t="str">
        <f t="shared" si="15"/>
        <v>BOB381</v>
      </c>
      <c r="F381" t="s">
        <v>30</v>
      </c>
      <c r="G381" s="11" t="s">
        <v>70</v>
      </c>
      <c r="H381" s="11">
        <v>0</v>
      </c>
      <c r="I381" s="11">
        <v>0</v>
      </c>
      <c r="J381" s="11">
        <v>0</v>
      </c>
      <c r="K381" s="11">
        <v>903000</v>
      </c>
      <c r="L381" s="11">
        <v>304500</v>
      </c>
      <c r="M381" s="11">
        <v>1185000</v>
      </c>
      <c r="N381" s="11">
        <v>0</v>
      </c>
    </row>
    <row r="382" spans="1:14" x14ac:dyDescent="0.3">
      <c r="A382" s="10">
        <v>46020</v>
      </c>
      <c r="B382" t="s">
        <v>19</v>
      </c>
      <c r="C382" t="str">
        <f t="shared" si="16"/>
        <v>342856178382</v>
      </c>
      <c r="D382" t="str">
        <f t="shared" si="17"/>
        <v>Client382</v>
      </c>
      <c r="E382" t="str">
        <f t="shared" si="15"/>
        <v>BOB382</v>
      </c>
      <c r="F382" t="s">
        <v>24</v>
      </c>
      <c r="G382" s="11" t="s">
        <v>22</v>
      </c>
      <c r="H382" s="11">
        <v>0</v>
      </c>
      <c r="I382" s="11">
        <v>0</v>
      </c>
      <c r="J382" s="11">
        <v>5500000</v>
      </c>
      <c r="K382" s="11">
        <v>0</v>
      </c>
      <c r="L382" s="11">
        <v>5500000</v>
      </c>
      <c r="M382" s="11">
        <v>0</v>
      </c>
      <c r="N382" s="11">
        <v>0</v>
      </c>
    </row>
    <row r="383" spans="1:14" x14ac:dyDescent="0.3">
      <c r="A383" s="10">
        <v>46020</v>
      </c>
      <c r="B383" t="s">
        <v>19</v>
      </c>
      <c r="C383" t="str">
        <f t="shared" si="16"/>
        <v>342856178383</v>
      </c>
      <c r="D383" t="str">
        <f t="shared" si="17"/>
        <v>Client383</v>
      </c>
      <c r="E383" t="str">
        <f t="shared" si="15"/>
        <v>BOB383</v>
      </c>
      <c r="F383" t="s">
        <v>21</v>
      </c>
      <c r="G383" s="11" t="s">
        <v>22</v>
      </c>
      <c r="H383" s="11">
        <v>0</v>
      </c>
      <c r="I383" s="11">
        <v>0</v>
      </c>
      <c r="J383" s="11">
        <v>500000</v>
      </c>
      <c r="K383" s="11">
        <v>1500000</v>
      </c>
      <c r="L383" s="11">
        <v>2381000</v>
      </c>
      <c r="M383" s="11">
        <v>4508900</v>
      </c>
      <c r="N383" s="11">
        <v>0</v>
      </c>
    </row>
    <row r="384" spans="1:14" x14ac:dyDescent="0.3">
      <c r="A384" s="10">
        <v>46020</v>
      </c>
      <c r="B384" t="s">
        <v>19</v>
      </c>
      <c r="C384" t="str">
        <f t="shared" si="16"/>
        <v>342856178384</v>
      </c>
      <c r="D384" t="str">
        <f t="shared" si="17"/>
        <v>Client384</v>
      </c>
      <c r="E384" t="str">
        <f t="shared" si="15"/>
        <v>BOB384</v>
      </c>
      <c r="F384" t="s">
        <v>24</v>
      </c>
      <c r="G384" s="11" t="s">
        <v>22</v>
      </c>
      <c r="H384" s="11">
        <v>0</v>
      </c>
      <c r="I384" s="11">
        <v>0</v>
      </c>
      <c r="J384" s="11">
        <v>9000000</v>
      </c>
      <c r="K384" s="11">
        <v>29632200</v>
      </c>
      <c r="L384" s="11">
        <v>65912300</v>
      </c>
      <c r="M384" s="11">
        <v>88968000</v>
      </c>
      <c r="N384" s="11">
        <v>0</v>
      </c>
    </row>
    <row r="385" spans="1:14" x14ac:dyDescent="0.3">
      <c r="A385" s="10">
        <v>46020</v>
      </c>
      <c r="B385" t="s">
        <v>19</v>
      </c>
      <c r="C385" t="str">
        <f t="shared" si="16"/>
        <v>342856178385</v>
      </c>
      <c r="D385" t="str">
        <f t="shared" si="17"/>
        <v>Client385</v>
      </c>
      <c r="E385" t="str">
        <f t="shared" si="15"/>
        <v>BOB385</v>
      </c>
      <c r="F385" t="s">
        <v>32</v>
      </c>
      <c r="G385" s="11" t="s">
        <v>22</v>
      </c>
      <c r="H385" s="11">
        <v>0</v>
      </c>
      <c r="I385" s="11">
        <v>0</v>
      </c>
      <c r="J385" s="11">
        <v>1400000</v>
      </c>
      <c r="K385" s="11">
        <v>5898500</v>
      </c>
      <c r="L385" s="11">
        <v>13013200</v>
      </c>
      <c r="M385" s="11">
        <v>17367900</v>
      </c>
      <c r="N385" s="11">
        <v>0</v>
      </c>
    </row>
    <row r="386" spans="1:14" x14ac:dyDescent="0.3">
      <c r="A386" s="10">
        <v>46020</v>
      </c>
      <c r="B386" t="s">
        <v>19</v>
      </c>
      <c r="C386" t="str">
        <f t="shared" si="16"/>
        <v>342856178386</v>
      </c>
      <c r="D386" t="str">
        <f t="shared" si="17"/>
        <v>Client386</v>
      </c>
      <c r="E386" t="str">
        <f t="shared" si="15"/>
        <v>BOB386</v>
      </c>
      <c r="F386" t="s">
        <v>21</v>
      </c>
      <c r="G386" s="11" t="s">
        <v>22</v>
      </c>
      <c r="H386" s="11">
        <v>0</v>
      </c>
      <c r="I386" s="11">
        <v>0</v>
      </c>
      <c r="J386" s="11">
        <v>0</v>
      </c>
      <c r="K386" s="11">
        <v>4000000</v>
      </c>
      <c r="L386" s="11">
        <v>6587100</v>
      </c>
      <c r="M386" s="11">
        <v>11574900</v>
      </c>
      <c r="N386" s="11">
        <v>0</v>
      </c>
    </row>
    <row r="387" spans="1:14" x14ac:dyDescent="0.3">
      <c r="A387" s="10">
        <v>46020</v>
      </c>
      <c r="B387" t="s">
        <v>19</v>
      </c>
      <c r="C387" t="str">
        <f t="shared" si="16"/>
        <v>342856178387</v>
      </c>
      <c r="D387" t="str">
        <f t="shared" si="17"/>
        <v>Client387</v>
      </c>
      <c r="E387" t="str">
        <f t="shared" ref="E387:E450" si="18">"BOB"&amp;ROW()</f>
        <v>BOB387</v>
      </c>
      <c r="F387" t="s">
        <v>32</v>
      </c>
      <c r="G387" s="11" t="s">
        <v>22</v>
      </c>
      <c r="H387" s="11">
        <v>0</v>
      </c>
      <c r="I387" s="11">
        <v>0</v>
      </c>
      <c r="J387" s="11">
        <v>0</v>
      </c>
      <c r="K387" s="11">
        <v>300000</v>
      </c>
      <c r="L387" s="11">
        <v>2458000</v>
      </c>
      <c r="M387" s="11">
        <v>2633500</v>
      </c>
      <c r="N387" s="11">
        <v>0</v>
      </c>
    </row>
    <row r="388" spans="1:14" x14ac:dyDescent="0.3">
      <c r="A388" s="10">
        <v>46020</v>
      </c>
      <c r="B388" t="s">
        <v>19</v>
      </c>
      <c r="C388" t="str">
        <f t="shared" ref="C388:C451" si="19" xml:space="preserve"> "342856178" &amp; ROW()</f>
        <v>342856178388</v>
      </c>
      <c r="D388" t="str">
        <f t="shared" ref="D388:D451" si="20">"Client"  &amp; ROW()</f>
        <v>Client388</v>
      </c>
      <c r="E388" t="str">
        <f t="shared" si="18"/>
        <v>BOB388</v>
      </c>
      <c r="F388" t="s">
        <v>21</v>
      </c>
      <c r="G388" s="11" t="s">
        <v>22</v>
      </c>
      <c r="H388" s="11">
        <v>0</v>
      </c>
      <c r="I388" s="11">
        <v>0</v>
      </c>
      <c r="J388" s="11">
        <v>0</v>
      </c>
      <c r="K388" s="11">
        <v>400000</v>
      </c>
      <c r="L388" s="11">
        <v>933600</v>
      </c>
      <c r="M388" s="11">
        <v>1404700</v>
      </c>
      <c r="N388" s="11">
        <v>0</v>
      </c>
    </row>
    <row r="389" spans="1:14" x14ac:dyDescent="0.3">
      <c r="A389" s="10">
        <v>46020</v>
      </c>
      <c r="B389" t="s">
        <v>19</v>
      </c>
      <c r="C389" t="str">
        <f t="shared" si="19"/>
        <v>342856178389</v>
      </c>
      <c r="D389" t="str">
        <f t="shared" si="20"/>
        <v>Client389</v>
      </c>
      <c r="E389" t="str">
        <f t="shared" si="18"/>
        <v>BOB389</v>
      </c>
      <c r="F389" t="s">
        <v>30</v>
      </c>
      <c r="G389" s="11" t="s">
        <v>76</v>
      </c>
      <c r="H389" s="11">
        <v>0</v>
      </c>
      <c r="I389" s="11">
        <v>0</v>
      </c>
      <c r="J389" s="11">
        <v>140746400</v>
      </c>
      <c r="K389" s="11">
        <v>910000</v>
      </c>
      <c r="L389" s="11">
        <v>207940700</v>
      </c>
      <c r="M389" s="11">
        <v>34074400</v>
      </c>
      <c r="N389" s="11">
        <v>0</v>
      </c>
    </row>
    <row r="390" spans="1:14" x14ac:dyDescent="0.3">
      <c r="A390" s="10">
        <v>46020</v>
      </c>
      <c r="B390" t="s">
        <v>19</v>
      </c>
      <c r="C390" t="str">
        <f t="shared" si="19"/>
        <v>342856178390</v>
      </c>
      <c r="D390" t="str">
        <f t="shared" si="20"/>
        <v>Client390</v>
      </c>
      <c r="E390" t="str">
        <f t="shared" si="18"/>
        <v>BOB390</v>
      </c>
      <c r="F390" t="s">
        <v>24</v>
      </c>
      <c r="G390" s="11" t="s">
        <v>88</v>
      </c>
      <c r="H390" s="11">
        <v>0</v>
      </c>
      <c r="I390" s="11">
        <v>0</v>
      </c>
      <c r="J390" s="11">
        <v>0</v>
      </c>
      <c r="K390" s="11">
        <v>1200000</v>
      </c>
      <c r="L390" s="11">
        <v>2150900</v>
      </c>
      <c r="M390" s="11">
        <v>2169000</v>
      </c>
      <c r="N390" s="11">
        <v>0</v>
      </c>
    </row>
    <row r="391" spans="1:14" x14ac:dyDescent="0.3">
      <c r="A391" s="10">
        <v>46020</v>
      </c>
      <c r="B391" t="s">
        <v>19</v>
      </c>
      <c r="C391" t="str">
        <f t="shared" si="19"/>
        <v>342856178391</v>
      </c>
      <c r="D391" t="str">
        <f t="shared" si="20"/>
        <v>Client391</v>
      </c>
      <c r="E391" t="str">
        <f t="shared" si="18"/>
        <v>BOB391</v>
      </c>
      <c r="F391" t="s">
        <v>74</v>
      </c>
      <c r="G391" s="11" t="s">
        <v>22</v>
      </c>
      <c r="H391" s="11">
        <v>0</v>
      </c>
      <c r="I391" s="11">
        <v>0</v>
      </c>
      <c r="J391" s="11">
        <v>6500000</v>
      </c>
      <c r="K391" s="11">
        <v>0</v>
      </c>
      <c r="L391" s="11">
        <v>9806000</v>
      </c>
      <c r="M391" s="11">
        <v>4035500</v>
      </c>
      <c r="N391" s="11">
        <v>0</v>
      </c>
    </row>
    <row r="392" spans="1:14" x14ac:dyDescent="0.3">
      <c r="A392" s="10">
        <v>46020</v>
      </c>
      <c r="B392" t="s">
        <v>19</v>
      </c>
      <c r="C392" t="str">
        <f t="shared" si="19"/>
        <v>342856178392</v>
      </c>
      <c r="D392" t="str">
        <f t="shared" si="20"/>
        <v>Client392</v>
      </c>
      <c r="E392" t="str">
        <f t="shared" si="18"/>
        <v>BOB392</v>
      </c>
      <c r="F392" t="s">
        <v>21</v>
      </c>
      <c r="G392" s="11" t="s">
        <v>22</v>
      </c>
      <c r="H392" s="11">
        <v>0</v>
      </c>
      <c r="I392" s="11">
        <v>0</v>
      </c>
      <c r="J392" s="11">
        <v>0</v>
      </c>
      <c r="K392" s="11">
        <v>4006000</v>
      </c>
      <c r="L392" s="11">
        <v>2135900</v>
      </c>
      <c r="M392" s="11">
        <v>5902400</v>
      </c>
      <c r="N392" s="11">
        <v>0</v>
      </c>
    </row>
    <row r="393" spans="1:14" x14ac:dyDescent="0.3">
      <c r="A393" s="10">
        <v>46020</v>
      </c>
      <c r="B393" t="s">
        <v>19</v>
      </c>
      <c r="C393" t="str">
        <f t="shared" si="19"/>
        <v>342856178393</v>
      </c>
      <c r="D393" t="str">
        <f t="shared" si="20"/>
        <v>Client393</v>
      </c>
      <c r="E393" t="str">
        <f t="shared" si="18"/>
        <v>BOB393</v>
      </c>
      <c r="F393" t="s">
        <v>32</v>
      </c>
      <c r="G393" s="11" t="s">
        <v>22</v>
      </c>
      <c r="H393" s="11">
        <v>0</v>
      </c>
      <c r="I393" s="11">
        <v>0</v>
      </c>
      <c r="J393" s="11">
        <v>800000</v>
      </c>
      <c r="K393" s="11">
        <v>0</v>
      </c>
      <c r="L393" s="11">
        <v>3772700</v>
      </c>
      <c r="M393" s="11">
        <v>2999600</v>
      </c>
      <c r="N393" s="11">
        <v>0</v>
      </c>
    </row>
    <row r="394" spans="1:14" x14ac:dyDescent="0.3">
      <c r="A394" s="10">
        <v>46020</v>
      </c>
      <c r="B394" t="s">
        <v>19</v>
      </c>
      <c r="C394" t="str">
        <f t="shared" si="19"/>
        <v>342856178394</v>
      </c>
      <c r="D394" t="str">
        <f t="shared" si="20"/>
        <v>Client394</v>
      </c>
      <c r="E394" t="str">
        <f t="shared" si="18"/>
        <v>BOB394</v>
      </c>
      <c r="F394" t="s">
        <v>32</v>
      </c>
      <c r="G394" s="11" t="s">
        <v>22</v>
      </c>
      <c r="H394" s="11">
        <v>0</v>
      </c>
      <c r="I394" s="11">
        <v>0</v>
      </c>
      <c r="J394" s="11">
        <v>0</v>
      </c>
      <c r="K394" s="11">
        <v>0</v>
      </c>
      <c r="L394" s="11">
        <v>0</v>
      </c>
      <c r="M394" s="11">
        <v>0</v>
      </c>
      <c r="N394" s="11">
        <v>0</v>
      </c>
    </row>
    <row r="395" spans="1:14" x14ac:dyDescent="0.3">
      <c r="A395" s="10">
        <v>46020</v>
      </c>
      <c r="B395" t="s">
        <v>19</v>
      </c>
      <c r="C395" t="str">
        <f t="shared" si="19"/>
        <v>342856178395</v>
      </c>
      <c r="D395" t="str">
        <f t="shared" si="20"/>
        <v>Client395</v>
      </c>
      <c r="E395" t="str">
        <f t="shared" si="18"/>
        <v>BOB395</v>
      </c>
      <c r="G395" s="11"/>
      <c r="H395" s="11">
        <v>0</v>
      </c>
      <c r="I395" s="11">
        <v>0</v>
      </c>
      <c r="J395" s="11">
        <v>1464000</v>
      </c>
      <c r="K395" s="11">
        <v>2734000</v>
      </c>
      <c r="L395" s="11">
        <v>5379800</v>
      </c>
      <c r="M395" s="11">
        <v>6127800</v>
      </c>
      <c r="N395" s="11">
        <v>0</v>
      </c>
    </row>
    <row r="396" spans="1:14" x14ac:dyDescent="0.3">
      <c r="A396" s="10">
        <v>46020</v>
      </c>
      <c r="B396" t="s">
        <v>19</v>
      </c>
      <c r="C396" t="str">
        <f t="shared" si="19"/>
        <v>342856178396</v>
      </c>
      <c r="D396" t="str">
        <f t="shared" si="20"/>
        <v>Client396</v>
      </c>
      <c r="E396" t="str">
        <f t="shared" si="18"/>
        <v>BOB396</v>
      </c>
      <c r="G396" s="11"/>
      <c r="H396" s="11">
        <v>0</v>
      </c>
      <c r="I396" s="11">
        <v>0</v>
      </c>
      <c r="J396" s="11">
        <v>0</v>
      </c>
      <c r="K396" s="11">
        <v>0</v>
      </c>
      <c r="L396" s="11">
        <v>0</v>
      </c>
      <c r="M396" s="11">
        <v>0</v>
      </c>
      <c r="N396" s="11">
        <v>0</v>
      </c>
    </row>
    <row r="397" spans="1:14" x14ac:dyDescent="0.3">
      <c r="A397" s="10">
        <v>46020</v>
      </c>
      <c r="B397" t="s">
        <v>19</v>
      </c>
      <c r="C397" t="str">
        <f t="shared" si="19"/>
        <v>342856178397</v>
      </c>
      <c r="D397" t="str">
        <f t="shared" si="20"/>
        <v>Client397</v>
      </c>
      <c r="E397" t="str">
        <f t="shared" si="18"/>
        <v>BOB397</v>
      </c>
      <c r="F397" t="s">
        <v>21</v>
      </c>
      <c r="G397" s="11" t="s">
        <v>22</v>
      </c>
      <c r="H397" s="11">
        <v>0</v>
      </c>
      <c r="I397" s="11">
        <v>0</v>
      </c>
      <c r="J397" s="11">
        <v>0</v>
      </c>
      <c r="K397" s="11">
        <v>6350000</v>
      </c>
      <c r="L397" s="11">
        <v>3739300</v>
      </c>
      <c r="M397" s="11">
        <v>10811600</v>
      </c>
      <c r="N397" s="11">
        <v>0</v>
      </c>
    </row>
    <row r="398" spans="1:14" x14ac:dyDescent="0.3">
      <c r="A398" s="10">
        <v>46020</v>
      </c>
      <c r="B398" t="s">
        <v>19</v>
      </c>
      <c r="C398" t="str">
        <f t="shared" si="19"/>
        <v>342856178398</v>
      </c>
      <c r="D398" t="str">
        <f t="shared" si="20"/>
        <v>Client398</v>
      </c>
      <c r="E398" t="str">
        <f t="shared" si="18"/>
        <v>BOB398</v>
      </c>
      <c r="F398" t="s">
        <v>21</v>
      </c>
      <c r="G398" s="11" t="s">
        <v>22</v>
      </c>
      <c r="H398" s="11">
        <v>0</v>
      </c>
      <c r="I398" s="11">
        <v>3403000</v>
      </c>
      <c r="J398" s="11">
        <v>0</v>
      </c>
      <c r="K398" s="11">
        <v>0</v>
      </c>
      <c r="L398" s="11">
        <v>11607000</v>
      </c>
      <c r="M398" s="11">
        <v>12644900</v>
      </c>
      <c r="N398" s="11">
        <v>0</v>
      </c>
    </row>
    <row r="399" spans="1:14" x14ac:dyDescent="0.3">
      <c r="A399" s="10">
        <v>46020</v>
      </c>
      <c r="B399" t="s">
        <v>19</v>
      </c>
      <c r="C399" t="str">
        <f t="shared" si="19"/>
        <v>342856178399</v>
      </c>
      <c r="D399" t="str">
        <f t="shared" si="20"/>
        <v>Client399</v>
      </c>
      <c r="E399" t="str">
        <f t="shared" si="18"/>
        <v>BOB399</v>
      </c>
      <c r="F399" t="s">
        <v>32</v>
      </c>
      <c r="G399" s="11" t="s">
        <v>22</v>
      </c>
      <c r="H399" s="11">
        <v>0</v>
      </c>
      <c r="I399" s="11">
        <v>0</v>
      </c>
      <c r="J399" s="11">
        <v>4305000</v>
      </c>
      <c r="K399" s="11">
        <v>6992000</v>
      </c>
      <c r="L399" s="11">
        <v>18492200</v>
      </c>
      <c r="M399" s="11">
        <v>22591900</v>
      </c>
      <c r="N399" s="11">
        <v>0</v>
      </c>
    </row>
    <row r="400" spans="1:14" x14ac:dyDescent="0.3">
      <c r="A400" s="10">
        <v>46020</v>
      </c>
      <c r="B400" t="s">
        <v>19</v>
      </c>
      <c r="C400" t="str">
        <f t="shared" si="19"/>
        <v>342856178400</v>
      </c>
      <c r="D400" t="str">
        <f t="shared" si="20"/>
        <v>Client400</v>
      </c>
      <c r="E400" t="str">
        <f t="shared" si="18"/>
        <v>BOB400</v>
      </c>
      <c r="F400" t="s">
        <v>24</v>
      </c>
      <c r="G400" s="11" t="s">
        <v>22</v>
      </c>
      <c r="H400" s="11">
        <v>0</v>
      </c>
      <c r="I400" s="11">
        <v>0</v>
      </c>
      <c r="J400" s="11">
        <v>0</v>
      </c>
      <c r="K400" s="11">
        <v>1987800</v>
      </c>
      <c r="L400" s="11">
        <v>41505700</v>
      </c>
      <c r="M400" s="11">
        <v>44032800</v>
      </c>
      <c r="N400" s="11">
        <v>0</v>
      </c>
    </row>
    <row r="401" spans="1:14" x14ac:dyDescent="0.3">
      <c r="A401" s="10">
        <v>46020</v>
      </c>
      <c r="B401" t="s">
        <v>19</v>
      </c>
      <c r="C401" t="str">
        <f t="shared" si="19"/>
        <v>342856178401</v>
      </c>
      <c r="D401" t="str">
        <f t="shared" si="20"/>
        <v>Client401</v>
      </c>
      <c r="E401" t="str">
        <f t="shared" si="18"/>
        <v>BOB401</v>
      </c>
      <c r="F401" t="s">
        <v>30</v>
      </c>
      <c r="G401" s="11" t="s">
        <v>94</v>
      </c>
      <c r="H401" s="11">
        <v>0</v>
      </c>
      <c r="I401" s="11">
        <v>0</v>
      </c>
      <c r="J401" s="11">
        <v>0</v>
      </c>
      <c r="K401" s="11">
        <v>0</v>
      </c>
      <c r="L401" s="11">
        <v>0</v>
      </c>
      <c r="M401" s="11">
        <v>0</v>
      </c>
      <c r="N401" s="11">
        <v>0</v>
      </c>
    </row>
    <row r="402" spans="1:14" x14ac:dyDescent="0.3">
      <c r="A402" s="10">
        <v>46020</v>
      </c>
      <c r="B402" t="s">
        <v>19</v>
      </c>
      <c r="C402" t="str">
        <f t="shared" si="19"/>
        <v>342856178402</v>
      </c>
      <c r="D402" t="str">
        <f t="shared" si="20"/>
        <v>Client402</v>
      </c>
      <c r="E402" t="str">
        <f t="shared" si="18"/>
        <v>BOB402</v>
      </c>
      <c r="G402" s="11"/>
      <c r="H402" s="11">
        <v>0</v>
      </c>
      <c r="I402" s="11">
        <v>0</v>
      </c>
      <c r="J402" s="11">
        <v>0</v>
      </c>
      <c r="K402" s="11">
        <v>0</v>
      </c>
      <c r="L402" s="11">
        <v>0</v>
      </c>
      <c r="M402" s="11">
        <v>0</v>
      </c>
      <c r="N402" s="11">
        <v>0</v>
      </c>
    </row>
    <row r="403" spans="1:14" x14ac:dyDescent="0.3">
      <c r="A403" s="10">
        <v>46020</v>
      </c>
      <c r="B403" t="s">
        <v>19</v>
      </c>
      <c r="C403" t="str">
        <f t="shared" si="19"/>
        <v>342856178403</v>
      </c>
      <c r="D403" t="str">
        <f t="shared" si="20"/>
        <v>Client403</v>
      </c>
      <c r="E403" t="str">
        <f t="shared" si="18"/>
        <v>BOB403</v>
      </c>
      <c r="F403" t="s">
        <v>68</v>
      </c>
      <c r="G403" s="11" t="s">
        <v>22</v>
      </c>
      <c r="H403" s="11">
        <v>0</v>
      </c>
      <c r="I403" s="11">
        <v>0</v>
      </c>
      <c r="J403" s="11">
        <v>0</v>
      </c>
      <c r="K403" s="11">
        <v>2000000</v>
      </c>
      <c r="L403" s="11">
        <v>1522800</v>
      </c>
      <c r="M403" s="11">
        <v>2266000</v>
      </c>
      <c r="N403" s="11">
        <v>0</v>
      </c>
    </row>
    <row r="404" spans="1:14" x14ac:dyDescent="0.3">
      <c r="A404" s="10">
        <v>46020</v>
      </c>
      <c r="B404" t="s">
        <v>19</v>
      </c>
      <c r="C404" t="str">
        <f t="shared" si="19"/>
        <v>342856178404</v>
      </c>
      <c r="D404" t="str">
        <f t="shared" si="20"/>
        <v>Client404</v>
      </c>
      <c r="E404" t="str">
        <f t="shared" si="18"/>
        <v>BOB404</v>
      </c>
      <c r="G404" s="11"/>
      <c r="H404" s="11">
        <v>0</v>
      </c>
      <c r="I404" s="11">
        <v>0</v>
      </c>
      <c r="J404" s="11">
        <v>0</v>
      </c>
      <c r="K404" s="11">
        <v>2600000</v>
      </c>
      <c r="L404" s="11">
        <v>12267100</v>
      </c>
      <c r="M404" s="11">
        <v>15551200</v>
      </c>
      <c r="N404" s="11">
        <v>0</v>
      </c>
    </row>
    <row r="405" spans="1:14" x14ac:dyDescent="0.3">
      <c r="A405" s="10">
        <v>46020</v>
      </c>
      <c r="B405" t="s">
        <v>19</v>
      </c>
      <c r="C405" t="str">
        <f t="shared" si="19"/>
        <v>342856178405</v>
      </c>
      <c r="D405" t="str">
        <f t="shared" si="20"/>
        <v>Client405</v>
      </c>
      <c r="E405" t="str">
        <f t="shared" si="18"/>
        <v>BOB405</v>
      </c>
      <c r="F405" t="s">
        <v>21</v>
      </c>
      <c r="G405" s="11" t="s">
        <v>22</v>
      </c>
      <c r="H405" s="11">
        <v>0</v>
      </c>
      <c r="I405" s="11">
        <v>0</v>
      </c>
      <c r="J405" s="11">
        <v>0</v>
      </c>
      <c r="K405" s="11">
        <v>0</v>
      </c>
      <c r="L405" s="11">
        <v>14412400</v>
      </c>
      <c r="M405" s="11">
        <v>14720700</v>
      </c>
      <c r="N405" s="11">
        <v>0</v>
      </c>
    </row>
    <row r="406" spans="1:14" x14ac:dyDescent="0.3">
      <c r="A406" s="10">
        <v>46020</v>
      </c>
      <c r="B406" t="s">
        <v>19</v>
      </c>
      <c r="C406" t="str">
        <f t="shared" si="19"/>
        <v>342856178406</v>
      </c>
      <c r="D406" t="str">
        <f t="shared" si="20"/>
        <v>Client406</v>
      </c>
      <c r="E406" t="str">
        <f t="shared" si="18"/>
        <v>BOB406</v>
      </c>
      <c r="G406" s="11"/>
      <c r="H406" s="11">
        <v>0</v>
      </c>
      <c r="I406" s="11">
        <v>0</v>
      </c>
      <c r="J406" s="11">
        <v>0</v>
      </c>
      <c r="K406" s="11">
        <v>0</v>
      </c>
      <c r="L406" s="11">
        <v>5739900</v>
      </c>
      <c r="M406" s="11">
        <v>5650000</v>
      </c>
      <c r="N406" s="11">
        <v>0</v>
      </c>
    </row>
    <row r="407" spans="1:14" x14ac:dyDescent="0.3">
      <c r="A407" s="10">
        <v>46020</v>
      </c>
      <c r="B407" t="s">
        <v>19</v>
      </c>
      <c r="C407" t="str">
        <f t="shared" si="19"/>
        <v>342856178407</v>
      </c>
      <c r="D407" t="str">
        <f t="shared" si="20"/>
        <v>Client407</v>
      </c>
      <c r="E407" t="str">
        <f t="shared" si="18"/>
        <v>BOB407</v>
      </c>
      <c r="F407" t="s">
        <v>32</v>
      </c>
      <c r="G407" s="11" t="s">
        <v>22</v>
      </c>
      <c r="H407" s="11">
        <v>0</v>
      </c>
      <c r="I407" s="11">
        <v>0</v>
      </c>
      <c r="J407" s="11">
        <v>400000</v>
      </c>
      <c r="K407" s="11">
        <v>1900000</v>
      </c>
      <c r="L407" s="11">
        <v>3366800</v>
      </c>
      <c r="M407" s="11">
        <v>5638900</v>
      </c>
      <c r="N407" s="11">
        <v>0</v>
      </c>
    </row>
    <row r="408" spans="1:14" x14ac:dyDescent="0.3">
      <c r="A408" s="10">
        <v>46020</v>
      </c>
      <c r="B408" t="s">
        <v>19</v>
      </c>
      <c r="C408" t="str">
        <f t="shared" si="19"/>
        <v>342856178408</v>
      </c>
      <c r="D408" t="str">
        <f t="shared" si="20"/>
        <v>Client408</v>
      </c>
      <c r="E408" t="str">
        <f t="shared" si="18"/>
        <v>BOB408</v>
      </c>
      <c r="F408" t="s">
        <v>95</v>
      </c>
      <c r="G408" s="11" t="s">
        <v>96</v>
      </c>
      <c r="H408" s="11">
        <v>0</v>
      </c>
      <c r="I408" s="11">
        <v>0</v>
      </c>
      <c r="J408" s="11">
        <v>0</v>
      </c>
      <c r="K408" s="11">
        <v>0</v>
      </c>
      <c r="L408" s="11">
        <v>1516300</v>
      </c>
      <c r="M408" s="11">
        <v>2047800</v>
      </c>
      <c r="N408" s="11">
        <v>0</v>
      </c>
    </row>
    <row r="409" spans="1:14" x14ac:dyDescent="0.3">
      <c r="A409" s="10">
        <v>46020</v>
      </c>
      <c r="B409" t="s">
        <v>19</v>
      </c>
      <c r="C409" t="str">
        <f t="shared" si="19"/>
        <v>342856178409</v>
      </c>
      <c r="D409" t="str">
        <f t="shared" si="20"/>
        <v>Client409</v>
      </c>
      <c r="E409" t="str">
        <f t="shared" si="18"/>
        <v>BOB409</v>
      </c>
      <c r="F409" t="s">
        <v>21</v>
      </c>
      <c r="G409" s="11" t="s">
        <v>22</v>
      </c>
      <c r="H409" s="11">
        <v>0</v>
      </c>
      <c r="I409" s="11">
        <v>301500</v>
      </c>
      <c r="J409" s="11">
        <v>0</v>
      </c>
      <c r="K409" s="11">
        <v>0</v>
      </c>
      <c r="L409" s="11">
        <v>1373600</v>
      </c>
      <c r="M409" s="11">
        <v>3593900</v>
      </c>
      <c r="N409" s="11">
        <v>0</v>
      </c>
    </row>
    <row r="410" spans="1:14" x14ac:dyDescent="0.3">
      <c r="A410" s="10">
        <v>46020</v>
      </c>
      <c r="B410" t="s">
        <v>19</v>
      </c>
      <c r="C410" t="str">
        <f t="shared" si="19"/>
        <v>342856178410</v>
      </c>
      <c r="D410" t="str">
        <f t="shared" si="20"/>
        <v>Client410</v>
      </c>
      <c r="E410" t="str">
        <f t="shared" si="18"/>
        <v>BOB410</v>
      </c>
      <c r="F410" t="s">
        <v>21</v>
      </c>
      <c r="G410" s="11" t="s">
        <v>22</v>
      </c>
      <c r="H410" s="11">
        <v>0</v>
      </c>
      <c r="I410" s="11">
        <v>0</v>
      </c>
      <c r="J410" s="11">
        <v>0</v>
      </c>
      <c r="K410" s="11">
        <v>14201500</v>
      </c>
      <c r="L410" s="11">
        <v>46936700</v>
      </c>
      <c r="M410" s="11">
        <v>75196200</v>
      </c>
      <c r="N410" s="11">
        <v>0</v>
      </c>
    </row>
    <row r="411" spans="1:14" x14ac:dyDescent="0.3">
      <c r="A411" s="10">
        <v>46020</v>
      </c>
      <c r="B411" t="s">
        <v>19</v>
      </c>
      <c r="C411" t="str">
        <f t="shared" si="19"/>
        <v>342856178411</v>
      </c>
      <c r="D411" t="str">
        <f t="shared" si="20"/>
        <v>Client411</v>
      </c>
      <c r="E411" t="str">
        <f t="shared" si="18"/>
        <v>BOB411</v>
      </c>
      <c r="F411" t="s">
        <v>30</v>
      </c>
      <c r="G411" s="11" t="s">
        <v>71</v>
      </c>
      <c r="H411" s="11">
        <v>0</v>
      </c>
      <c r="I411" s="11">
        <v>0</v>
      </c>
      <c r="J411" s="11">
        <v>0</v>
      </c>
      <c r="K411" s="11">
        <v>6300000</v>
      </c>
      <c r="L411" s="11">
        <v>13727500</v>
      </c>
      <c r="M411" s="11">
        <v>21830200</v>
      </c>
      <c r="N411" s="11">
        <v>0</v>
      </c>
    </row>
    <row r="412" spans="1:14" x14ac:dyDescent="0.3">
      <c r="A412" s="10">
        <v>46020</v>
      </c>
      <c r="B412" t="s">
        <v>19</v>
      </c>
      <c r="C412" t="str">
        <f t="shared" si="19"/>
        <v>342856178412</v>
      </c>
      <c r="D412" t="str">
        <f t="shared" si="20"/>
        <v>Client412</v>
      </c>
      <c r="E412" t="str">
        <f t="shared" si="18"/>
        <v>BOB412</v>
      </c>
      <c r="G412" s="11"/>
      <c r="H412" s="11">
        <v>0</v>
      </c>
      <c r="I412" s="11">
        <v>0</v>
      </c>
      <c r="J412" s="11">
        <v>0</v>
      </c>
      <c r="K412" s="11">
        <v>0</v>
      </c>
      <c r="L412" s="11">
        <v>0</v>
      </c>
      <c r="M412" s="11">
        <v>0</v>
      </c>
      <c r="N412" s="11">
        <v>0</v>
      </c>
    </row>
    <row r="413" spans="1:14" x14ac:dyDescent="0.3">
      <c r="A413" s="10">
        <v>46020</v>
      </c>
      <c r="B413" t="s">
        <v>19</v>
      </c>
      <c r="C413" t="str">
        <f t="shared" si="19"/>
        <v>342856178413</v>
      </c>
      <c r="D413" t="str">
        <f t="shared" si="20"/>
        <v>Client413</v>
      </c>
      <c r="E413" t="str">
        <f t="shared" si="18"/>
        <v>BOB413</v>
      </c>
      <c r="F413" t="s">
        <v>21</v>
      </c>
      <c r="G413" s="11" t="s">
        <v>22</v>
      </c>
      <c r="H413" s="11">
        <v>0</v>
      </c>
      <c r="I413" s="11">
        <v>0</v>
      </c>
      <c r="J413" s="11">
        <v>0</v>
      </c>
      <c r="K413" s="11">
        <v>0</v>
      </c>
      <c r="L413" s="11">
        <v>0</v>
      </c>
      <c r="M413" s="11">
        <v>0</v>
      </c>
      <c r="N413" s="11">
        <v>0</v>
      </c>
    </row>
    <row r="414" spans="1:14" x14ac:dyDescent="0.3">
      <c r="A414" s="10">
        <v>46020</v>
      </c>
      <c r="B414" t="s">
        <v>19</v>
      </c>
      <c r="C414" t="str">
        <f t="shared" si="19"/>
        <v>342856178414</v>
      </c>
      <c r="D414" t="str">
        <f t="shared" si="20"/>
        <v>Client414</v>
      </c>
      <c r="E414" t="str">
        <f t="shared" si="18"/>
        <v>BOB414</v>
      </c>
      <c r="F414" t="s">
        <v>32</v>
      </c>
      <c r="G414" s="11" t="s">
        <v>22</v>
      </c>
      <c r="H414" s="11">
        <v>0</v>
      </c>
      <c r="I414" s="11">
        <v>0</v>
      </c>
      <c r="J414" s="11">
        <v>0</v>
      </c>
      <c r="K414" s="11">
        <v>0</v>
      </c>
      <c r="L414" s="11">
        <v>0</v>
      </c>
      <c r="M414" s="11">
        <v>0</v>
      </c>
      <c r="N414" s="11">
        <v>0</v>
      </c>
    </row>
    <row r="415" spans="1:14" x14ac:dyDescent="0.3">
      <c r="A415" s="10">
        <v>46020</v>
      </c>
      <c r="B415" t="s">
        <v>19</v>
      </c>
      <c r="C415" t="str">
        <f t="shared" si="19"/>
        <v>342856178415</v>
      </c>
      <c r="D415" t="str">
        <f t="shared" si="20"/>
        <v>Client415</v>
      </c>
      <c r="E415" t="str">
        <f t="shared" si="18"/>
        <v>BOB415</v>
      </c>
      <c r="G415" s="11"/>
      <c r="H415" s="11">
        <v>0</v>
      </c>
      <c r="I415" s="11">
        <v>0</v>
      </c>
      <c r="J415" s="11">
        <v>0</v>
      </c>
      <c r="K415" s="11">
        <v>700000</v>
      </c>
      <c r="L415" s="11">
        <v>837300</v>
      </c>
      <c r="M415" s="11">
        <v>1325200</v>
      </c>
      <c r="N415" s="11">
        <v>0</v>
      </c>
    </row>
    <row r="416" spans="1:14" x14ac:dyDescent="0.3">
      <c r="A416" s="10">
        <v>46020</v>
      </c>
      <c r="B416" t="s">
        <v>19</v>
      </c>
      <c r="C416" t="str">
        <f t="shared" si="19"/>
        <v>342856178416</v>
      </c>
      <c r="D416" t="str">
        <f t="shared" si="20"/>
        <v>Client416</v>
      </c>
      <c r="E416" t="str">
        <f t="shared" si="18"/>
        <v>BOB416</v>
      </c>
      <c r="F416" t="s">
        <v>24</v>
      </c>
      <c r="G416" s="11" t="s">
        <v>22</v>
      </c>
      <c r="H416" s="11">
        <v>0</v>
      </c>
      <c r="I416" s="11">
        <v>0</v>
      </c>
      <c r="J416" s="11">
        <v>0</v>
      </c>
      <c r="K416" s="11">
        <v>3004500</v>
      </c>
      <c r="L416" s="11">
        <v>51971700</v>
      </c>
      <c r="M416" s="11">
        <v>53254500</v>
      </c>
      <c r="N416" s="11">
        <v>0</v>
      </c>
    </row>
    <row r="417" spans="1:14" x14ac:dyDescent="0.3">
      <c r="A417" s="10">
        <v>46020</v>
      </c>
      <c r="B417" t="s">
        <v>19</v>
      </c>
      <c r="C417" t="str">
        <f t="shared" si="19"/>
        <v>342856178417</v>
      </c>
      <c r="D417" t="str">
        <f t="shared" si="20"/>
        <v>Client417</v>
      </c>
      <c r="E417" t="str">
        <f t="shared" si="18"/>
        <v>BOB417</v>
      </c>
      <c r="F417" t="s">
        <v>21</v>
      </c>
      <c r="G417" s="11" t="s">
        <v>22</v>
      </c>
      <c r="H417" s="11">
        <v>0</v>
      </c>
      <c r="I417" s="11">
        <v>0</v>
      </c>
      <c r="J417" s="11">
        <v>0</v>
      </c>
      <c r="K417" s="11">
        <v>0</v>
      </c>
      <c r="L417" s="11">
        <v>872800</v>
      </c>
      <c r="M417" s="11">
        <v>1139100</v>
      </c>
      <c r="N417" s="11">
        <v>0</v>
      </c>
    </row>
    <row r="418" spans="1:14" x14ac:dyDescent="0.3">
      <c r="A418" s="10">
        <v>46020</v>
      </c>
      <c r="B418" t="s">
        <v>19</v>
      </c>
      <c r="C418" t="str">
        <f t="shared" si="19"/>
        <v>342856178418</v>
      </c>
      <c r="D418" t="str">
        <f t="shared" si="20"/>
        <v>Client418</v>
      </c>
      <c r="E418" t="str">
        <f t="shared" si="18"/>
        <v>BOB418</v>
      </c>
      <c r="F418" t="s">
        <v>32</v>
      </c>
      <c r="G418" s="11" t="s">
        <v>22</v>
      </c>
      <c r="H418" s="11">
        <v>0</v>
      </c>
      <c r="I418" s="11">
        <v>0</v>
      </c>
      <c r="J418" s="11">
        <v>0</v>
      </c>
      <c r="K418" s="11">
        <v>0</v>
      </c>
      <c r="L418" s="11">
        <v>200000</v>
      </c>
      <c r="M418" s="11">
        <v>1332000</v>
      </c>
      <c r="N418" s="11">
        <v>0</v>
      </c>
    </row>
    <row r="419" spans="1:14" x14ac:dyDescent="0.3">
      <c r="A419" s="10">
        <v>46020</v>
      </c>
      <c r="B419" t="s">
        <v>19</v>
      </c>
      <c r="C419" t="str">
        <f t="shared" si="19"/>
        <v>342856178419</v>
      </c>
      <c r="D419" t="str">
        <f t="shared" si="20"/>
        <v>Client419</v>
      </c>
      <c r="E419" t="str">
        <f t="shared" si="18"/>
        <v>BOB419</v>
      </c>
      <c r="G419" s="11"/>
      <c r="H419" s="11">
        <v>0</v>
      </c>
      <c r="I419" s="11">
        <v>0</v>
      </c>
      <c r="J419" s="11">
        <v>0</v>
      </c>
      <c r="K419" s="11">
        <v>0</v>
      </c>
      <c r="L419" s="11">
        <v>5396700</v>
      </c>
      <c r="M419" s="11">
        <v>4651600</v>
      </c>
      <c r="N419" s="11">
        <v>0</v>
      </c>
    </row>
    <row r="420" spans="1:14" x14ac:dyDescent="0.3">
      <c r="A420" s="10">
        <v>46020</v>
      </c>
      <c r="B420" t="s">
        <v>19</v>
      </c>
      <c r="C420" t="str">
        <f t="shared" si="19"/>
        <v>342856178420</v>
      </c>
      <c r="D420" t="str">
        <f t="shared" si="20"/>
        <v>Client420</v>
      </c>
      <c r="E420" t="str">
        <f t="shared" si="18"/>
        <v>BOB420</v>
      </c>
      <c r="F420" t="s">
        <v>26</v>
      </c>
      <c r="G420" s="11" t="s">
        <v>27</v>
      </c>
      <c r="H420" s="11">
        <v>0</v>
      </c>
      <c r="I420" s="11">
        <v>0</v>
      </c>
      <c r="J420" s="11">
        <v>0</v>
      </c>
      <c r="K420" s="11">
        <v>0</v>
      </c>
      <c r="L420" s="11">
        <v>97500</v>
      </c>
      <c r="M420" s="11">
        <v>102000</v>
      </c>
      <c r="N420" s="11">
        <v>0</v>
      </c>
    </row>
    <row r="421" spans="1:14" x14ac:dyDescent="0.3">
      <c r="A421" s="10">
        <v>46020</v>
      </c>
      <c r="B421" t="s">
        <v>19</v>
      </c>
      <c r="C421" t="str">
        <f t="shared" si="19"/>
        <v>342856178421</v>
      </c>
      <c r="D421" t="str">
        <f t="shared" si="20"/>
        <v>Client421</v>
      </c>
      <c r="E421" t="str">
        <f t="shared" si="18"/>
        <v>BOB421</v>
      </c>
      <c r="F421" t="s">
        <v>24</v>
      </c>
      <c r="G421" s="11" t="s">
        <v>22</v>
      </c>
      <c r="H421" s="11">
        <v>0</v>
      </c>
      <c r="I421" s="11">
        <v>0</v>
      </c>
      <c r="J421" s="11">
        <v>0</v>
      </c>
      <c r="K421" s="11">
        <v>0</v>
      </c>
      <c r="L421" s="11">
        <v>5609300</v>
      </c>
      <c r="M421" s="11">
        <v>6598400</v>
      </c>
      <c r="N421" s="11">
        <v>0</v>
      </c>
    </row>
    <row r="422" spans="1:14" x14ac:dyDescent="0.3">
      <c r="A422" s="10">
        <v>46020</v>
      </c>
      <c r="B422" t="s">
        <v>19</v>
      </c>
      <c r="C422" t="str">
        <f t="shared" si="19"/>
        <v>342856178422</v>
      </c>
      <c r="D422" t="str">
        <f t="shared" si="20"/>
        <v>Client422</v>
      </c>
      <c r="E422" t="str">
        <f t="shared" si="18"/>
        <v>BOB422</v>
      </c>
      <c r="F422" t="s">
        <v>26</v>
      </c>
      <c r="G422" s="11" t="s">
        <v>27</v>
      </c>
      <c r="H422" s="11">
        <v>0</v>
      </c>
      <c r="I422" s="11">
        <v>0</v>
      </c>
      <c r="J422" s="11">
        <v>0</v>
      </c>
      <c r="K422" s="11">
        <v>3503500</v>
      </c>
      <c r="L422" s="11">
        <v>4138700</v>
      </c>
      <c r="M422" s="11">
        <v>6977500</v>
      </c>
      <c r="N422" s="11">
        <v>0</v>
      </c>
    </row>
    <row r="423" spans="1:14" x14ac:dyDescent="0.3">
      <c r="A423" s="10">
        <v>46020</v>
      </c>
      <c r="B423" t="s">
        <v>19</v>
      </c>
      <c r="C423" t="str">
        <f t="shared" si="19"/>
        <v>342856178423</v>
      </c>
      <c r="D423" t="str">
        <f t="shared" si="20"/>
        <v>Client423</v>
      </c>
      <c r="E423" t="str">
        <f t="shared" si="18"/>
        <v>BOB423</v>
      </c>
      <c r="F423" t="s">
        <v>21</v>
      </c>
      <c r="G423" s="11" t="s">
        <v>22</v>
      </c>
      <c r="H423" s="11">
        <v>0</v>
      </c>
      <c r="I423" s="11">
        <v>0</v>
      </c>
      <c r="J423" s="11">
        <v>0</v>
      </c>
      <c r="K423" s="11">
        <v>0</v>
      </c>
      <c r="L423" s="11">
        <v>0</v>
      </c>
      <c r="M423" s="11">
        <v>0</v>
      </c>
      <c r="N423" s="11">
        <v>0</v>
      </c>
    </row>
    <row r="424" spans="1:14" x14ac:dyDescent="0.3">
      <c r="A424" s="10">
        <v>46020</v>
      </c>
      <c r="B424" t="s">
        <v>19</v>
      </c>
      <c r="C424" t="str">
        <f t="shared" si="19"/>
        <v>342856178424</v>
      </c>
      <c r="D424" t="str">
        <f t="shared" si="20"/>
        <v>Client424</v>
      </c>
      <c r="E424" t="str">
        <f t="shared" si="18"/>
        <v>BOB424</v>
      </c>
      <c r="G424" s="11"/>
      <c r="H424" s="11">
        <v>0</v>
      </c>
      <c r="I424" s="11">
        <v>0</v>
      </c>
      <c r="J424" s="11">
        <v>12300000</v>
      </c>
      <c r="K424" s="11">
        <v>2000000</v>
      </c>
      <c r="L424" s="11">
        <v>52789500</v>
      </c>
      <c r="M424" s="11">
        <v>44341600</v>
      </c>
      <c r="N424" s="11">
        <v>0</v>
      </c>
    </row>
    <row r="425" spans="1:14" x14ac:dyDescent="0.3">
      <c r="A425" s="10">
        <v>46020</v>
      </c>
      <c r="B425" t="s">
        <v>19</v>
      </c>
      <c r="C425" t="str">
        <f t="shared" si="19"/>
        <v>342856178425</v>
      </c>
      <c r="D425" t="str">
        <f t="shared" si="20"/>
        <v>Client425</v>
      </c>
      <c r="E425" t="str">
        <f t="shared" si="18"/>
        <v>BOB425</v>
      </c>
      <c r="F425" t="s">
        <v>26</v>
      </c>
      <c r="G425" s="11" t="s">
        <v>27</v>
      </c>
      <c r="H425" s="11">
        <v>0</v>
      </c>
      <c r="I425" s="11">
        <v>0</v>
      </c>
      <c r="J425" s="11">
        <v>0</v>
      </c>
      <c r="K425" s="11">
        <v>1301300</v>
      </c>
      <c r="L425" s="11">
        <v>5535300</v>
      </c>
      <c r="M425" s="11">
        <v>8745000</v>
      </c>
      <c r="N425" s="11">
        <v>0</v>
      </c>
    </row>
    <row r="426" spans="1:14" x14ac:dyDescent="0.3">
      <c r="A426" s="10">
        <v>46020</v>
      </c>
      <c r="B426" t="s">
        <v>19</v>
      </c>
      <c r="C426" t="str">
        <f t="shared" si="19"/>
        <v>342856178426</v>
      </c>
      <c r="D426" t="str">
        <f t="shared" si="20"/>
        <v>Client426</v>
      </c>
      <c r="E426" t="str">
        <f t="shared" si="18"/>
        <v>BOB426</v>
      </c>
      <c r="G426" s="11"/>
      <c r="H426" s="11">
        <v>0</v>
      </c>
      <c r="I426" s="11">
        <v>0</v>
      </c>
      <c r="J426" s="11">
        <v>0</v>
      </c>
      <c r="K426" s="11">
        <v>422500</v>
      </c>
      <c r="L426" s="11">
        <v>933400</v>
      </c>
      <c r="M426" s="11">
        <v>3112400</v>
      </c>
      <c r="N426" s="11">
        <v>0</v>
      </c>
    </row>
    <row r="427" spans="1:14" x14ac:dyDescent="0.3">
      <c r="A427" s="10">
        <v>46020</v>
      </c>
      <c r="B427" t="s">
        <v>19</v>
      </c>
      <c r="C427" t="str">
        <f t="shared" si="19"/>
        <v>342856178427</v>
      </c>
      <c r="D427" t="str">
        <f t="shared" si="20"/>
        <v>Client427</v>
      </c>
      <c r="E427" t="str">
        <f t="shared" si="18"/>
        <v>BOB427</v>
      </c>
      <c r="G427" s="11"/>
      <c r="H427" s="11">
        <v>0</v>
      </c>
      <c r="I427" s="11">
        <v>0</v>
      </c>
      <c r="J427" s="11">
        <v>0</v>
      </c>
      <c r="K427" s="11">
        <v>800800</v>
      </c>
      <c r="L427" s="11">
        <v>1895900</v>
      </c>
      <c r="M427" s="11">
        <v>2565400</v>
      </c>
      <c r="N427" s="11">
        <v>0</v>
      </c>
    </row>
    <row r="428" spans="1:14" x14ac:dyDescent="0.3">
      <c r="A428" s="10">
        <v>46020</v>
      </c>
      <c r="B428" t="s">
        <v>19</v>
      </c>
      <c r="C428" t="str">
        <f t="shared" si="19"/>
        <v>342856178428</v>
      </c>
      <c r="D428" t="str">
        <f t="shared" si="20"/>
        <v>Client428</v>
      </c>
      <c r="E428" t="str">
        <f t="shared" si="18"/>
        <v>BOB428</v>
      </c>
      <c r="F428" t="s">
        <v>32</v>
      </c>
      <c r="G428" s="11" t="s">
        <v>22</v>
      </c>
      <c r="H428" s="11">
        <v>0</v>
      </c>
      <c r="I428" s="11">
        <v>0</v>
      </c>
      <c r="J428" s="11">
        <v>0</v>
      </c>
      <c r="K428" s="11">
        <v>0</v>
      </c>
      <c r="L428" s="11">
        <v>1831000</v>
      </c>
      <c r="M428" s="11">
        <v>1831000</v>
      </c>
      <c r="N428" s="11">
        <v>0</v>
      </c>
    </row>
    <row r="429" spans="1:14" x14ac:dyDescent="0.3">
      <c r="A429" s="10">
        <v>46020</v>
      </c>
      <c r="B429" t="s">
        <v>19</v>
      </c>
      <c r="C429" t="str">
        <f t="shared" si="19"/>
        <v>342856178429</v>
      </c>
      <c r="D429" t="str">
        <f t="shared" si="20"/>
        <v>Client429</v>
      </c>
      <c r="E429" t="str">
        <f t="shared" si="18"/>
        <v>BOB429</v>
      </c>
      <c r="F429" t="s">
        <v>21</v>
      </c>
      <c r="G429" s="11" t="s">
        <v>22</v>
      </c>
      <c r="H429" s="11">
        <v>0</v>
      </c>
      <c r="I429" s="11">
        <v>0</v>
      </c>
      <c r="J429" s="11">
        <v>0</v>
      </c>
      <c r="K429" s="11">
        <v>2000000</v>
      </c>
      <c r="L429" s="11">
        <v>1099100</v>
      </c>
      <c r="M429" s="11">
        <v>1695500</v>
      </c>
      <c r="N429" s="11">
        <v>490000</v>
      </c>
    </row>
    <row r="430" spans="1:14" x14ac:dyDescent="0.3">
      <c r="A430" s="10">
        <v>46020</v>
      </c>
      <c r="B430" t="s">
        <v>19</v>
      </c>
      <c r="C430" t="str">
        <f t="shared" si="19"/>
        <v>342856178430</v>
      </c>
      <c r="D430" t="str">
        <f t="shared" si="20"/>
        <v>Client430</v>
      </c>
      <c r="E430" t="str">
        <f t="shared" si="18"/>
        <v>BOB430</v>
      </c>
      <c r="F430" t="s">
        <v>32</v>
      </c>
      <c r="G430" s="11" t="s">
        <v>22</v>
      </c>
      <c r="H430" s="11">
        <v>0</v>
      </c>
      <c r="I430" s="11">
        <v>0</v>
      </c>
      <c r="J430" s="11">
        <v>0</v>
      </c>
      <c r="K430" s="11">
        <v>0</v>
      </c>
      <c r="L430" s="11">
        <v>15184400</v>
      </c>
      <c r="M430" s="11">
        <v>14138300</v>
      </c>
      <c r="N430" s="11">
        <v>0</v>
      </c>
    </row>
    <row r="431" spans="1:14" x14ac:dyDescent="0.3">
      <c r="A431" s="10">
        <v>46020</v>
      </c>
      <c r="B431" t="s">
        <v>19</v>
      </c>
      <c r="C431" t="str">
        <f t="shared" si="19"/>
        <v>342856178431</v>
      </c>
      <c r="D431" t="str">
        <f t="shared" si="20"/>
        <v>Client431</v>
      </c>
      <c r="E431" t="str">
        <f t="shared" si="18"/>
        <v>BOB431</v>
      </c>
      <c r="G431" s="11"/>
      <c r="H431" s="11">
        <v>0</v>
      </c>
      <c r="I431" s="11">
        <v>0</v>
      </c>
      <c r="J431" s="11">
        <v>0</v>
      </c>
      <c r="K431" s="11">
        <v>690000</v>
      </c>
      <c r="L431" s="11">
        <v>395600</v>
      </c>
      <c r="M431" s="11">
        <v>1067000</v>
      </c>
      <c r="N431" s="11">
        <v>0</v>
      </c>
    </row>
    <row r="432" spans="1:14" x14ac:dyDescent="0.3">
      <c r="A432" s="10">
        <v>46020</v>
      </c>
      <c r="B432" t="s">
        <v>19</v>
      </c>
      <c r="C432" t="str">
        <f t="shared" si="19"/>
        <v>342856178432</v>
      </c>
      <c r="D432" t="str">
        <f t="shared" si="20"/>
        <v>Client432</v>
      </c>
      <c r="E432" t="str">
        <f t="shared" si="18"/>
        <v>BOB432</v>
      </c>
      <c r="F432" t="s">
        <v>26</v>
      </c>
      <c r="G432" s="11" t="s">
        <v>27</v>
      </c>
      <c r="H432" s="11">
        <v>0</v>
      </c>
      <c r="I432" s="11">
        <v>0</v>
      </c>
      <c r="J432" s="11">
        <v>0</v>
      </c>
      <c r="K432" s="11">
        <v>0</v>
      </c>
      <c r="L432" s="11">
        <v>12738100</v>
      </c>
      <c r="M432" s="11">
        <v>16688600</v>
      </c>
      <c r="N432" s="11">
        <v>0</v>
      </c>
    </row>
    <row r="433" spans="1:14" x14ac:dyDescent="0.3">
      <c r="A433" s="10">
        <v>46020</v>
      </c>
      <c r="B433" t="s">
        <v>19</v>
      </c>
      <c r="C433" t="str">
        <f t="shared" si="19"/>
        <v>342856178433</v>
      </c>
      <c r="D433" t="str">
        <f t="shared" si="20"/>
        <v>Client433</v>
      </c>
      <c r="E433" t="str">
        <f t="shared" si="18"/>
        <v>BOB433</v>
      </c>
      <c r="F433" t="s">
        <v>26</v>
      </c>
      <c r="G433" s="11" t="s">
        <v>27</v>
      </c>
      <c r="H433" s="11">
        <v>0</v>
      </c>
      <c r="I433" s="11">
        <v>0</v>
      </c>
      <c r="J433" s="11">
        <v>0</v>
      </c>
      <c r="K433" s="11">
        <v>5005000</v>
      </c>
      <c r="L433" s="11">
        <v>5546000</v>
      </c>
      <c r="M433" s="11">
        <v>9130800</v>
      </c>
      <c r="N433" s="11">
        <v>0</v>
      </c>
    </row>
    <row r="434" spans="1:14" x14ac:dyDescent="0.3">
      <c r="A434" s="10">
        <v>46020</v>
      </c>
      <c r="B434" t="s">
        <v>19</v>
      </c>
      <c r="C434" t="str">
        <f t="shared" si="19"/>
        <v>342856178434</v>
      </c>
      <c r="D434" t="str">
        <f t="shared" si="20"/>
        <v>Client434</v>
      </c>
      <c r="E434" t="str">
        <f t="shared" si="18"/>
        <v>BOB434</v>
      </c>
      <c r="F434" t="s">
        <v>32</v>
      </c>
      <c r="G434" s="11" t="s">
        <v>22</v>
      </c>
      <c r="H434" s="11">
        <v>0</v>
      </c>
      <c r="I434" s="11">
        <v>0</v>
      </c>
      <c r="J434" s="11">
        <v>0</v>
      </c>
      <c r="K434" s="11">
        <v>0</v>
      </c>
      <c r="L434" s="11">
        <v>769700</v>
      </c>
      <c r="M434" s="11">
        <v>870000</v>
      </c>
      <c r="N434" s="11">
        <v>0</v>
      </c>
    </row>
    <row r="435" spans="1:14" x14ac:dyDescent="0.3">
      <c r="A435" s="10">
        <v>46020</v>
      </c>
      <c r="B435" t="s">
        <v>19</v>
      </c>
      <c r="C435" t="str">
        <f t="shared" si="19"/>
        <v>342856178435</v>
      </c>
      <c r="D435" t="str">
        <f t="shared" si="20"/>
        <v>Client435</v>
      </c>
      <c r="E435" t="str">
        <f t="shared" si="18"/>
        <v>BOB435</v>
      </c>
      <c r="F435" t="s">
        <v>26</v>
      </c>
      <c r="G435" s="11" t="s">
        <v>27</v>
      </c>
      <c r="H435" s="11">
        <v>0</v>
      </c>
      <c r="I435" s="11">
        <v>0</v>
      </c>
      <c r="J435" s="11">
        <v>0</v>
      </c>
      <c r="K435" s="11">
        <v>0</v>
      </c>
      <c r="L435" s="11">
        <v>296800</v>
      </c>
      <c r="M435" s="11">
        <v>669000</v>
      </c>
      <c r="N435" s="11">
        <v>0</v>
      </c>
    </row>
    <row r="436" spans="1:14" x14ac:dyDescent="0.3">
      <c r="A436" s="10">
        <v>46020</v>
      </c>
      <c r="B436" t="s">
        <v>19</v>
      </c>
      <c r="C436" t="str">
        <f t="shared" si="19"/>
        <v>342856178436</v>
      </c>
      <c r="D436" t="str">
        <f t="shared" si="20"/>
        <v>Client436</v>
      </c>
      <c r="E436" t="str">
        <f t="shared" si="18"/>
        <v>BOB436</v>
      </c>
      <c r="F436" t="s">
        <v>21</v>
      </c>
      <c r="G436" s="11" t="s">
        <v>22</v>
      </c>
      <c r="H436" s="11">
        <v>0</v>
      </c>
      <c r="I436" s="11">
        <v>0</v>
      </c>
      <c r="J436" s="11">
        <v>0</v>
      </c>
      <c r="K436" s="11">
        <v>0</v>
      </c>
      <c r="L436" s="11">
        <v>2636100</v>
      </c>
      <c r="M436" s="11">
        <v>2644800</v>
      </c>
      <c r="N436" s="11">
        <v>0</v>
      </c>
    </row>
    <row r="437" spans="1:14" x14ac:dyDescent="0.3">
      <c r="A437" s="10">
        <v>46020</v>
      </c>
      <c r="B437" t="s">
        <v>19</v>
      </c>
      <c r="C437" t="str">
        <f t="shared" si="19"/>
        <v>342856178437</v>
      </c>
      <c r="D437" t="str">
        <f t="shared" si="20"/>
        <v>Client437</v>
      </c>
      <c r="E437" t="str">
        <f t="shared" si="18"/>
        <v>BOB437</v>
      </c>
      <c r="G437" s="11"/>
      <c r="H437" s="11">
        <v>0</v>
      </c>
      <c r="I437" s="11">
        <v>0</v>
      </c>
      <c r="J437" s="11">
        <v>0</v>
      </c>
      <c r="K437" s="11">
        <v>7007000</v>
      </c>
      <c r="L437" s="11">
        <v>22970800</v>
      </c>
      <c r="M437" s="11">
        <v>33620000</v>
      </c>
      <c r="N437" s="11">
        <v>0</v>
      </c>
    </row>
    <row r="438" spans="1:14" x14ac:dyDescent="0.3">
      <c r="A438" s="10">
        <v>46020</v>
      </c>
      <c r="B438" t="s">
        <v>19</v>
      </c>
      <c r="C438" t="str">
        <f t="shared" si="19"/>
        <v>342856178438</v>
      </c>
      <c r="D438" t="str">
        <f t="shared" si="20"/>
        <v>Client438</v>
      </c>
      <c r="E438" t="str">
        <f t="shared" si="18"/>
        <v>BOB438</v>
      </c>
      <c r="F438" t="s">
        <v>21</v>
      </c>
      <c r="G438" s="11" t="s">
        <v>22</v>
      </c>
      <c r="H438" s="11">
        <v>0</v>
      </c>
      <c r="I438" s="11">
        <v>0</v>
      </c>
      <c r="J438" s="11">
        <v>7680400</v>
      </c>
      <c r="K438" s="11">
        <v>0</v>
      </c>
      <c r="L438" s="11">
        <v>0</v>
      </c>
      <c r="M438" s="11">
        <v>0</v>
      </c>
      <c r="N438" s="11">
        <v>0</v>
      </c>
    </row>
    <row r="439" spans="1:14" x14ac:dyDescent="0.3">
      <c r="A439" s="10">
        <v>46020</v>
      </c>
      <c r="B439" t="s">
        <v>19</v>
      </c>
      <c r="C439" t="str">
        <f t="shared" si="19"/>
        <v>342856178439</v>
      </c>
      <c r="D439" t="str">
        <f t="shared" si="20"/>
        <v>Client439</v>
      </c>
      <c r="E439" t="str">
        <f t="shared" si="18"/>
        <v>BOB439</v>
      </c>
      <c r="G439" s="11"/>
      <c r="H439" s="11">
        <v>0</v>
      </c>
      <c r="I439" s="11">
        <v>0</v>
      </c>
      <c r="J439" s="11">
        <v>0</v>
      </c>
      <c r="K439" s="11">
        <v>3400000</v>
      </c>
      <c r="L439" s="11">
        <v>19729400</v>
      </c>
      <c r="M439" s="11">
        <v>23773400</v>
      </c>
      <c r="N439" s="11">
        <v>0</v>
      </c>
    </row>
    <row r="440" spans="1:14" x14ac:dyDescent="0.3">
      <c r="A440" s="10">
        <v>46020</v>
      </c>
      <c r="B440" t="s">
        <v>19</v>
      </c>
      <c r="C440" t="str">
        <f t="shared" si="19"/>
        <v>342856178440</v>
      </c>
      <c r="D440" t="str">
        <f t="shared" si="20"/>
        <v>Client440</v>
      </c>
      <c r="E440" t="str">
        <f t="shared" si="18"/>
        <v>BOB440</v>
      </c>
      <c r="F440" t="s">
        <v>32</v>
      </c>
      <c r="G440" s="11" t="s">
        <v>22</v>
      </c>
      <c r="H440" s="11">
        <v>0</v>
      </c>
      <c r="I440" s="11">
        <v>0</v>
      </c>
      <c r="J440" s="11">
        <v>0</v>
      </c>
      <c r="K440" s="11">
        <v>0</v>
      </c>
      <c r="L440" s="11">
        <v>14194800</v>
      </c>
      <c r="M440" s="11">
        <v>13795200</v>
      </c>
      <c r="N440" s="11">
        <v>0</v>
      </c>
    </row>
    <row r="441" spans="1:14" x14ac:dyDescent="0.3">
      <c r="A441" s="10">
        <v>46020</v>
      </c>
      <c r="B441" t="s">
        <v>19</v>
      </c>
      <c r="C441" t="str">
        <f t="shared" si="19"/>
        <v>342856178441</v>
      </c>
      <c r="D441" t="str">
        <f t="shared" si="20"/>
        <v>Client441</v>
      </c>
      <c r="E441" t="str">
        <f t="shared" si="18"/>
        <v>BOB441</v>
      </c>
      <c r="F441" t="s">
        <v>32</v>
      </c>
      <c r="G441" s="11" t="s">
        <v>22</v>
      </c>
      <c r="H441" s="11">
        <v>0</v>
      </c>
      <c r="I441" s="11">
        <v>0</v>
      </c>
      <c r="J441" s="11">
        <v>0</v>
      </c>
      <c r="K441" s="11">
        <v>5000000</v>
      </c>
      <c r="L441" s="11">
        <v>12019000</v>
      </c>
      <c r="M441" s="11">
        <v>16033000</v>
      </c>
      <c r="N441" s="11">
        <v>0</v>
      </c>
    </row>
    <row r="442" spans="1:14" x14ac:dyDescent="0.3">
      <c r="A442" s="10">
        <v>46020</v>
      </c>
      <c r="B442" t="s">
        <v>19</v>
      </c>
      <c r="C442" t="str">
        <f t="shared" si="19"/>
        <v>342856178442</v>
      </c>
      <c r="D442" t="str">
        <f t="shared" si="20"/>
        <v>Client442</v>
      </c>
      <c r="E442" t="str">
        <f t="shared" si="18"/>
        <v>BOB442</v>
      </c>
      <c r="F442" t="s">
        <v>32</v>
      </c>
      <c r="G442" s="11" t="s">
        <v>22</v>
      </c>
      <c r="H442" s="11">
        <v>0</v>
      </c>
      <c r="I442" s="11">
        <v>0</v>
      </c>
      <c r="J442" s="11">
        <v>0</v>
      </c>
      <c r="K442" s="11">
        <v>0</v>
      </c>
      <c r="L442" s="11">
        <v>830200</v>
      </c>
      <c r="M442" s="11">
        <v>1684900</v>
      </c>
      <c r="N442" s="11">
        <v>0</v>
      </c>
    </row>
    <row r="443" spans="1:14" x14ac:dyDescent="0.3">
      <c r="A443" s="10">
        <v>46020</v>
      </c>
      <c r="B443" t="s">
        <v>19</v>
      </c>
      <c r="C443" t="str">
        <f t="shared" si="19"/>
        <v>342856178443</v>
      </c>
      <c r="D443" t="str">
        <f t="shared" si="20"/>
        <v>Client443</v>
      </c>
      <c r="E443" t="str">
        <f t="shared" si="18"/>
        <v>BOB443</v>
      </c>
      <c r="G443" s="11"/>
      <c r="H443" s="11">
        <v>0</v>
      </c>
      <c r="I443" s="11">
        <v>0</v>
      </c>
      <c r="J443" s="11">
        <v>0</v>
      </c>
      <c r="K443" s="11">
        <v>0</v>
      </c>
      <c r="L443" s="11">
        <v>9360600</v>
      </c>
      <c r="M443" s="11">
        <v>11127300</v>
      </c>
      <c r="N443" s="11">
        <v>0</v>
      </c>
    </row>
    <row r="444" spans="1:14" x14ac:dyDescent="0.3">
      <c r="A444" s="10">
        <v>46020</v>
      </c>
      <c r="B444" t="s">
        <v>19</v>
      </c>
      <c r="C444" t="str">
        <f t="shared" si="19"/>
        <v>342856178444</v>
      </c>
      <c r="D444" t="str">
        <f t="shared" si="20"/>
        <v>Client444</v>
      </c>
      <c r="E444" t="str">
        <f t="shared" si="18"/>
        <v>BOB444</v>
      </c>
      <c r="F444" t="s">
        <v>21</v>
      </c>
      <c r="G444" s="11" t="s">
        <v>22</v>
      </c>
      <c r="H444" s="11">
        <v>0</v>
      </c>
      <c r="I444" s="11">
        <v>0</v>
      </c>
      <c r="J444" s="11">
        <v>1420000</v>
      </c>
      <c r="K444" s="11">
        <v>0</v>
      </c>
      <c r="L444" s="11">
        <v>18538400</v>
      </c>
      <c r="M444" s="11">
        <v>19755800</v>
      </c>
      <c r="N444" s="11">
        <v>0</v>
      </c>
    </row>
    <row r="445" spans="1:14" x14ac:dyDescent="0.3">
      <c r="A445" s="10">
        <v>46020</v>
      </c>
      <c r="B445" t="s">
        <v>19</v>
      </c>
      <c r="C445" t="str">
        <f t="shared" si="19"/>
        <v>342856178445</v>
      </c>
      <c r="D445" t="str">
        <f t="shared" si="20"/>
        <v>Client445</v>
      </c>
      <c r="E445" t="str">
        <f t="shared" si="18"/>
        <v>BOB445</v>
      </c>
      <c r="F445" t="s">
        <v>21</v>
      </c>
      <c r="G445" s="11" t="s">
        <v>22</v>
      </c>
      <c r="H445" s="11">
        <v>0</v>
      </c>
      <c r="I445" s="11">
        <v>0</v>
      </c>
      <c r="J445" s="11">
        <v>0</v>
      </c>
      <c r="K445" s="11">
        <v>0</v>
      </c>
      <c r="L445" s="11">
        <v>6549200</v>
      </c>
      <c r="M445" s="11">
        <v>5455800</v>
      </c>
      <c r="N445" s="11">
        <v>0</v>
      </c>
    </row>
    <row r="446" spans="1:14" x14ac:dyDescent="0.3">
      <c r="A446" s="10">
        <v>46020</v>
      </c>
      <c r="B446" t="s">
        <v>19</v>
      </c>
      <c r="C446" t="str">
        <f t="shared" si="19"/>
        <v>342856178446</v>
      </c>
      <c r="D446" t="str">
        <f t="shared" si="20"/>
        <v>Client446</v>
      </c>
      <c r="E446" t="str">
        <f t="shared" si="18"/>
        <v>BOB446</v>
      </c>
      <c r="G446" s="11"/>
      <c r="H446" s="11">
        <v>0</v>
      </c>
      <c r="I446" s="11">
        <v>0</v>
      </c>
      <c r="J446" s="11">
        <v>0</v>
      </c>
      <c r="K446" s="11">
        <v>0</v>
      </c>
      <c r="L446" s="11">
        <v>9140100</v>
      </c>
      <c r="M446" s="11">
        <v>9105600</v>
      </c>
      <c r="N446" s="11">
        <v>0</v>
      </c>
    </row>
    <row r="447" spans="1:14" x14ac:dyDescent="0.3">
      <c r="A447" s="10">
        <v>46020</v>
      </c>
      <c r="B447" t="s">
        <v>19</v>
      </c>
      <c r="C447" t="str">
        <f t="shared" si="19"/>
        <v>342856178447</v>
      </c>
      <c r="D447" t="str">
        <f t="shared" si="20"/>
        <v>Client447</v>
      </c>
      <c r="E447" t="str">
        <f t="shared" si="18"/>
        <v>BOB447</v>
      </c>
      <c r="F447" t="s">
        <v>26</v>
      </c>
      <c r="G447" s="11" t="s">
        <v>27</v>
      </c>
      <c r="H447" s="11">
        <v>0</v>
      </c>
      <c r="I447" s="11">
        <v>0</v>
      </c>
      <c r="J447" s="11">
        <v>0</v>
      </c>
      <c r="K447" s="11">
        <v>3003000</v>
      </c>
      <c r="L447" s="11">
        <v>7090200</v>
      </c>
      <c r="M447" s="11">
        <v>10408600</v>
      </c>
      <c r="N447" s="11">
        <v>0</v>
      </c>
    </row>
    <row r="448" spans="1:14" x14ac:dyDescent="0.3">
      <c r="A448" s="10">
        <v>46020</v>
      </c>
      <c r="B448" t="s">
        <v>19</v>
      </c>
      <c r="C448" t="str">
        <f t="shared" si="19"/>
        <v>342856178448</v>
      </c>
      <c r="D448" t="str">
        <f t="shared" si="20"/>
        <v>Client448</v>
      </c>
      <c r="E448" t="str">
        <f t="shared" si="18"/>
        <v>BOB448</v>
      </c>
      <c r="F448" t="s">
        <v>32</v>
      </c>
      <c r="G448" s="11" t="s">
        <v>22</v>
      </c>
      <c r="H448" s="11">
        <v>0</v>
      </c>
      <c r="I448" s="11">
        <v>0</v>
      </c>
      <c r="J448" s="11">
        <v>1170000</v>
      </c>
      <c r="K448" s="11">
        <v>3471000</v>
      </c>
      <c r="L448" s="11">
        <v>3342800</v>
      </c>
      <c r="M448" s="11">
        <v>6330400</v>
      </c>
      <c r="N448" s="11">
        <v>0</v>
      </c>
    </row>
    <row r="449" spans="1:14" x14ac:dyDescent="0.3">
      <c r="A449" s="10">
        <v>46020</v>
      </c>
      <c r="B449" t="s">
        <v>19</v>
      </c>
      <c r="C449" t="str">
        <f t="shared" si="19"/>
        <v>342856178449</v>
      </c>
      <c r="D449" t="str">
        <f t="shared" si="20"/>
        <v>Client449</v>
      </c>
      <c r="E449" t="str">
        <f t="shared" si="18"/>
        <v>BOB449</v>
      </c>
      <c r="F449" t="s">
        <v>21</v>
      </c>
      <c r="G449" s="11" t="s">
        <v>22</v>
      </c>
      <c r="H449" s="11">
        <v>0</v>
      </c>
      <c r="I449" s="11">
        <v>0</v>
      </c>
      <c r="J449" s="11">
        <v>0</v>
      </c>
      <c r="K449" s="11">
        <v>0</v>
      </c>
      <c r="L449" s="11">
        <v>2603200</v>
      </c>
      <c r="M449" s="11">
        <v>3135600</v>
      </c>
      <c r="N449" s="11">
        <v>0</v>
      </c>
    </row>
    <row r="450" spans="1:14" x14ac:dyDescent="0.3">
      <c r="A450" s="10">
        <v>46020</v>
      </c>
      <c r="B450" t="s">
        <v>19</v>
      </c>
      <c r="C450" t="str">
        <f t="shared" si="19"/>
        <v>342856178450</v>
      </c>
      <c r="D450" t="str">
        <f t="shared" si="20"/>
        <v>Client450</v>
      </c>
      <c r="E450" t="str">
        <f t="shared" si="18"/>
        <v>BOB450</v>
      </c>
      <c r="F450" t="s">
        <v>21</v>
      </c>
      <c r="G450" s="11" t="s">
        <v>22</v>
      </c>
      <c r="H450" s="11">
        <v>0</v>
      </c>
      <c r="I450" s="11">
        <v>0</v>
      </c>
      <c r="J450" s="11">
        <v>0</v>
      </c>
      <c r="K450" s="11">
        <v>7532400</v>
      </c>
      <c r="L450" s="11">
        <v>13360700</v>
      </c>
      <c r="M450" s="11">
        <v>22326300</v>
      </c>
      <c r="N450" s="11">
        <v>0</v>
      </c>
    </row>
    <row r="451" spans="1:14" x14ac:dyDescent="0.3">
      <c r="A451" s="10">
        <v>46020</v>
      </c>
      <c r="B451" t="s">
        <v>19</v>
      </c>
      <c r="C451" t="str">
        <f t="shared" si="19"/>
        <v>342856178451</v>
      </c>
      <c r="D451" t="str">
        <f t="shared" si="20"/>
        <v>Client451</v>
      </c>
      <c r="E451" t="str">
        <f t="shared" ref="E451:E514" si="21">"BOB"&amp;ROW()</f>
        <v>BOB451</v>
      </c>
      <c r="F451" t="s">
        <v>26</v>
      </c>
      <c r="G451" s="11" t="s">
        <v>27</v>
      </c>
      <c r="H451" s="11">
        <v>0</v>
      </c>
      <c r="I451" s="11">
        <v>0</v>
      </c>
      <c r="J451" s="11">
        <v>500000</v>
      </c>
      <c r="K451" s="11">
        <v>0</v>
      </c>
      <c r="L451" s="11">
        <v>1958800</v>
      </c>
      <c r="M451" s="11">
        <v>1095000</v>
      </c>
      <c r="N451" s="11">
        <v>0</v>
      </c>
    </row>
    <row r="452" spans="1:14" x14ac:dyDescent="0.3">
      <c r="A452" s="10">
        <v>46020</v>
      </c>
      <c r="B452" t="s">
        <v>19</v>
      </c>
      <c r="C452" t="str">
        <f t="shared" ref="C452:C515" si="22" xml:space="preserve"> "342856178" &amp; ROW()</f>
        <v>342856178452</v>
      </c>
      <c r="D452" t="str">
        <f t="shared" ref="D452:D515" si="23">"Client"  &amp; ROW()</f>
        <v>Client452</v>
      </c>
      <c r="E452" t="str">
        <f t="shared" si="21"/>
        <v>BOB452</v>
      </c>
      <c r="F452" t="s">
        <v>30</v>
      </c>
      <c r="G452" s="11" t="s">
        <v>22</v>
      </c>
      <c r="H452" s="11">
        <v>0</v>
      </c>
      <c r="I452" s="11">
        <v>0</v>
      </c>
      <c r="J452" s="11">
        <v>0</v>
      </c>
      <c r="K452" s="11">
        <v>0</v>
      </c>
      <c r="L452" s="11">
        <v>67000</v>
      </c>
      <c r="M452" s="11">
        <v>150000</v>
      </c>
      <c r="N452" s="11">
        <v>0</v>
      </c>
    </row>
    <row r="453" spans="1:14" x14ac:dyDescent="0.3">
      <c r="A453" s="10">
        <v>46020</v>
      </c>
      <c r="B453" t="s">
        <v>19</v>
      </c>
      <c r="C453" t="str">
        <f t="shared" si="22"/>
        <v>342856178453</v>
      </c>
      <c r="D453" t="str">
        <f t="shared" si="23"/>
        <v>Client453</v>
      </c>
      <c r="E453" t="str">
        <f t="shared" si="21"/>
        <v>BOB453</v>
      </c>
      <c r="F453" t="s">
        <v>26</v>
      </c>
      <c r="G453" s="11" t="s">
        <v>27</v>
      </c>
      <c r="H453" s="11">
        <v>0</v>
      </c>
      <c r="I453" s="11">
        <v>0</v>
      </c>
      <c r="J453" s="11">
        <v>0</v>
      </c>
      <c r="K453" s="11">
        <v>0</v>
      </c>
      <c r="L453" s="11">
        <v>354400</v>
      </c>
      <c r="M453" s="11">
        <v>344500</v>
      </c>
      <c r="N453" s="11">
        <v>0</v>
      </c>
    </row>
    <row r="454" spans="1:14" x14ac:dyDescent="0.3">
      <c r="A454" s="10">
        <v>46020</v>
      </c>
      <c r="B454" t="s">
        <v>19</v>
      </c>
      <c r="C454" t="str">
        <f t="shared" si="22"/>
        <v>342856178454</v>
      </c>
      <c r="D454" t="str">
        <f t="shared" si="23"/>
        <v>Client454</v>
      </c>
      <c r="E454" t="str">
        <f t="shared" si="21"/>
        <v>BOB454</v>
      </c>
      <c r="F454" t="s">
        <v>24</v>
      </c>
      <c r="G454" s="11" t="s">
        <v>86</v>
      </c>
      <c r="H454" s="11">
        <v>0</v>
      </c>
      <c r="I454" s="11">
        <v>0</v>
      </c>
      <c r="J454" s="11">
        <v>0</v>
      </c>
      <c r="K454" s="11">
        <v>650000</v>
      </c>
      <c r="L454" s="11">
        <v>7506500</v>
      </c>
      <c r="M454" s="11">
        <v>8234700</v>
      </c>
      <c r="N454" s="11">
        <v>0</v>
      </c>
    </row>
    <row r="455" spans="1:14" x14ac:dyDescent="0.3">
      <c r="A455" s="10">
        <v>46020</v>
      </c>
      <c r="B455" t="s">
        <v>19</v>
      </c>
      <c r="C455" t="str">
        <f t="shared" si="22"/>
        <v>342856178455</v>
      </c>
      <c r="D455" t="str">
        <f t="shared" si="23"/>
        <v>Client455</v>
      </c>
      <c r="E455" t="str">
        <f t="shared" si="21"/>
        <v>BOB455</v>
      </c>
      <c r="G455" s="11"/>
      <c r="H455" s="11">
        <v>0</v>
      </c>
      <c r="I455" s="11">
        <v>0</v>
      </c>
      <c r="J455" s="11">
        <v>0</v>
      </c>
      <c r="K455" s="11">
        <v>0</v>
      </c>
      <c r="L455" s="11">
        <v>978800</v>
      </c>
      <c r="M455" s="11">
        <v>1294300</v>
      </c>
      <c r="N455" s="11">
        <v>0</v>
      </c>
    </row>
    <row r="456" spans="1:14" x14ac:dyDescent="0.3">
      <c r="A456" s="10">
        <v>46020</v>
      </c>
      <c r="B456" t="s">
        <v>19</v>
      </c>
      <c r="C456" t="str">
        <f t="shared" si="22"/>
        <v>342856178456</v>
      </c>
      <c r="D456" t="str">
        <f t="shared" si="23"/>
        <v>Client456</v>
      </c>
      <c r="E456" t="str">
        <f t="shared" si="21"/>
        <v>BOB456</v>
      </c>
      <c r="F456" t="s">
        <v>26</v>
      </c>
      <c r="G456" s="11" t="s">
        <v>27</v>
      </c>
      <c r="H456" s="11">
        <v>0</v>
      </c>
      <c r="I456" s="11">
        <v>0</v>
      </c>
      <c r="J456" s="11">
        <v>6100000</v>
      </c>
      <c r="K456" s="11">
        <v>7500000</v>
      </c>
      <c r="L456" s="11">
        <v>22015800</v>
      </c>
      <c r="M456" s="11">
        <v>23473800</v>
      </c>
      <c r="N456" s="11">
        <v>0</v>
      </c>
    </row>
    <row r="457" spans="1:14" x14ac:dyDescent="0.3">
      <c r="A457" s="10">
        <v>46020</v>
      </c>
      <c r="B457" t="s">
        <v>19</v>
      </c>
      <c r="C457" t="str">
        <f t="shared" si="22"/>
        <v>342856178457</v>
      </c>
      <c r="D457" t="str">
        <f t="shared" si="23"/>
        <v>Client457</v>
      </c>
      <c r="E457" t="str">
        <f t="shared" si="21"/>
        <v>BOB457</v>
      </c>
      <c r="F457" t="s">
        <v>32</v>
      </c>
      <c r="G457" s="11" t="s">
        <v>22</v>
      </c>
      <c r="H457" s="11">
        <v>0</v>
      </c>
      <c r="I457" s="11">
        <v>0</v>
      </c>
      <c r="J457" s="11">
        <v>3780000</v>
      </c>
      <c r="K457" s="11">
        <v>1950000</v>
      </c>
      <c r="L457" s="11">
        <v>10681000</v>
      </c>
      <c r="M457" s="11">
        <v>8442200</v>
      </c>
      <c r="N457" s="11">
        <v>0</v>
      </c>
    </row>
    <row r="458" spans="1:14" x14ac:dyDescent="0.3">
      <c r="A458" s="10">
        <v>46020</v>
      </c>
      <c r="B458" t="s">
        <v>19</v>
      </c>
      <c r="C458" t="str">
        <f t="shared" si="22"/>
        <v>342856178458</v>
      </c>
      <c r="D458" t="str">
        <f t="shared" si="23"/>
        <v>Client458</v>
      </c>
      <c r="E458" t="str">
        <f t="shared" si="21"/>
        <v>BOB458</v>
      </c>
      <c r="F458" t="s">
        <v>32</v>
      </c>
      <c r="G458" s="11" t="s">
        <v>22</v>
      </c>
      <c r="H458" s="11">
        <v>0</v>
      </c>
      <c r="I458" s="11">
        <v>0</v>
      </c>
      <c r="J458" s="11">
        <v>0</v>
      </c>
      <c r="K458" s="11">
        <v>0</v>
      </c>
      <c r="L458" s="11">
        <v>5404400</v>
      </c>
      <c r="M458" s="11">
        <v>5384000</v>
      </c>
      <c r="N458" s="11">
        <v>0</v>
      </c>
    </row>
    <row r="459" spans="1:14" x14ac:dyDescent="0.3">
      <c r="A459" s="10">
        <v>46020</v>
      </c>
      <c r="B459" t="s">
        <v>19</v>
      </c>
      <c r="C459" t="str">
        <f t="shared" si="22"/>
        <v>342856178459</v>
      </c>
      <c r="D459" t="str">
        <f t="shared" si="23"/>
        <v>Client459</v>
      </c>
      <c r="E459" t="str">
        <f t="shared" si="21"/>
        <v>BOB459</v>
      </c>
      <c r="F459" t="s">
        <v>32</v>
      </c>
      <c r="G459" s="11" t="s">
        <v>22</v>
      </c>
      <c r="H459" s="11">
        <v>0</v>
      </c>
      <c r="I459" s="11">
        <v>0</v>
      </c>
      <c r="J459" s="11">
        <v>0</v>
      </c>
      <c r="K459" s="11">
        <v>100000</v>
      </c>
      <c r="L459" s="11">
        <v>11100</v>
      </c>
      <c r="M459" s="11">
        <v>0</v>
      </c>
      <c r="N459" s="11">
        <v>0</v>
      </c>
    </row>
    <row r="460" spans="1:14" x14ac:dyDescent="0.3">
      <c r="A460" s="10">
        <v>46020</v>
      </c>
      <c r="B460" t="s">
        <v>19</v>
      </c>
      <c r="C460" t="str">
        <f t="shared" si="22"/>
        <v>342856178460</v>
      </c>
      <c r="D460" t="str">
        <f t="shared" si="23"/>
        <v>Client460</v>
      </c>
      <c r="E460" t="str">
        <f t="shared" si="21"/>
        <v>BOB460</v>
      </c>
      <c r="F460" t="s">
        <v>32</v>
      </c>
      <c r="G460" s="11" t="s">
        <v>22</v>
      </c>
      <c r="H460" s="11">
        <v>0</v>
      </c>
      <c r="I460" s="11">
        <v>0</v>
      </c>
      <c r="J460" s="11">
        <v>0</v>
      </c>
      <c r="K460" s="11">
        <v>0</v>
      </c>
      <c r="L460" s="11">
        <v>4090000</v>
      </c>
      <c r="M460" s="11">
        <v>4683500</v>
      </c>
      <c r="N460" s="11">
        <v>0</v>
      </c>
    </row>
    <row r="461" spans="1:14" x14ac:dyDescent="0.3">
      <c r="A461" s="10">
        <v>46020</v>
      </c>
      <c r="B461" t="s">
        <v>19</v>
      </c>
      <c r="C461" t="str">
        <f t="shared" si="22"/>
        <v>342856178461</v>
      </c>
      <c r="D461" t="str">
        <f t="shared" si="23"/>
        <v>Client461</v>
      </c>
      <c r="E461" t="str">
        <f t="shared" si="21"/>
        <v>BOB461</v>
      </c>
      <c r="F461" t="s">
        <v>21</v>
      </c>
      <c r="G461" s="11" t="s">
        <v>22</v>
      </c>
      <c r="H461" s="11">
        <v>0</v>
      </c>
      <c r="I461" s="11">
        <v>0</v>
      </c>
      <c r="J461" s="11">
        <v>0</v>
      </c>
      <c r="K461" s="11">
        <v>1500000</v>
      </c>
      <c r="L461" s="11">
        <v>1027300</v>
      </c>
      <c r="M461" s="11">
        <v>1923000</v>
      </c>
      <c r="N461" s="11">
        <v>0</v>
      </c>
    </row>
    <row r="462" spans="1:14" x14ac:dyDescent="0.3">
      <c r="A462" s="10">
        <v>46020</v>
      </c>
      <c r="B462" t="s">
        <v>19</v>
      </c>
      <c r="C462" t="str">
        <f t="shared" si="22"/>
        <v>342856178462</v>
      </c>
      <c r="D462" t="str">
        <f t="shared" si="23"/>
        <v>Client462</v>
      </c>
      <c r="E462" t="str">
        <f t="shared" si="21"/>
        <v>BOB462</v>
      </c>
      <c r="F462" t="s">
        <v>24</v>
      </c>
      <c r="G462" s="11" t="s">
        <v>22</v>
      </c>
      <c r="H462" s="11">
        <v>0</v>
      </c>
      <c r="I462" s="11">
        <v>0</v>
      </c>
      <c r="J462" s="11">
        <v>0</v>
      </c>
      <c r="K462" s="11">
        <v>2000000</v>
      </c>
      <c r="L462" s="11">
        <v>3856100</v>
      </c>
      <c r="M462" s="11">
        <v>5739000</v>
      </c>
      <c r="N462" s="11">
        <v>0</v>
      </c>
    </row>
    <row r="463" spans="1:14" x14ac:dyDescent="0.3">
      <c r="A463" s="10">
        <v>46020</v>
      </c>
      <c r="B463" t="s">
        <v>19</v>
      </c>
      <c r="C463" t="str">
        <f t="shared" si="22"/>
        <v>342856178463</v>
      </c>
      <c r="D463" t="str">
        <f t="shared" si="23"/>
        <v>Client463</v>
      </c>
      <c r="E463" t="str">
        <f t="shared" si="21"/>
        <v>BOB463</v>
      </c>
      <c r="F463" t="s">
        <v>21</v>
      </c>
      <c r="G463" s="11" t="s">
        <v>22</v>
      </c>
      <c r="H463" s="11">
        <v>0</v>
      </c>
      <c r="I463" s="11">
        <v>0</v>
      </c>
      <c r="J463" s="11">
        <v>200000</v>
      </c>
      <c r="K463" s="11">
        <v>0</v>
      </c>
      <c r="L463" s="11">
        <v>4932600</v>
      </c>
      <c r="M463" s="11">
        <v>4061900</v>
      </c>
      <c r="N463" s="11">
        <v>720000</v>
      </c>
    </row>
    <row r="464" spans="1:14" x14ac:dyDescent="0.3">
      <c r="A464" s="10">
        <v>46020</v>
      </c>
      <c r="B464" t="s">
        <v>19</v>
      </c>
      <c r="C464" t="str">
        <f t="shared" si="22"/>
        <v>342856178464</v>
      </c>
      <c r="D464" t="str">
        <f t="shared" si="23"/>
        <v>Client464</v>
      </c>
      <c r="E464" t="str">
        <f t="shared" si="21"/>
        <v>BOB464</v>
      </c>
      <c r="F464" t="s">
        <v>21</v>
      </c>
      <c r="G464" s="11" t="s">
        <v>22</v>
      </c>
      <c r="H464" s="11">
        <v>0</v>
      </c>
      <c r="I464" s="11">
        <v>0</v>
      </c>
      <c r="J464" s="11">
        <v>0</v>
      </c>
      <c r="K464" s="11">
        <v>0</v>
      </c>
      <c r="L464" s="11">
        <v>0</v>
      </c>
      <c r="M464" s="11">
        <v>0</v>
      </c>
      <c r="N464" s="11">
        <v>0</v>
      </c>
    </row>
    <row r="465" spans="1:14" x14ac:dyDescent="0.3">
      <c r="A465" s="10">
        <v>46020</v>
      </c>
      <c r="B465" t="s">
        <v>19</v>
      </c>
      <c r="C465" t="str">
        <f t="shared" si="22"/>
        <v>342856178465</v>
      </c>
      <c r="D465" t="str">
        <f t="shared" si="23"/>
        <v>Client465</v>
      </c>
      <c r="E465" t="str">
        <f t="shared" si="21"/>
        <v>BOB465</v>
      </c>
      <c r="F465" t="s">
        <v>32</v>
      </c>
      <c r="G465" s="11" t="s">
        <v>22</v>
      </c>
      <c r="H465" s="11">
        <v>0</v>
      </c>
      <c r="I465" s="11">
        <v>0</v>
      </c>
      <c r="J465" s="11">
        <v>0</v>
      </c>
      <c r="K465" s="11">
        <v>0</v>
      </c>
      <c r="L465" s="11">
        <v>10170700</v>
      </c>
      <c r="M465" s="11">
        <v>11496900</v>
      </c>
      <c r="N465" s="11">
        <v>0</v>
      </c>
    </row>
    <row r="466" spans="1:14" x14ac:dyDescent="0.3">
      <c r="A466" s="10">
        <v>46020</v>
      </c>
      <c r="B466" t="s">
        <v>19</v>
      </c>
      <c r="C466" t="str">
        <f t="shared" si="22"/>
        <v>342856178466</v>
      </c>
      <c r="D466" t="str">
        <f t="shared" si="23"/>
        <v>Client466</v>
      </c>
      <c r="E466" t="str">
        <f t="shared" si="21"/>
        <v>BOB466</v>
      </c>
      <c r="F466" t="s">
        <v>24</v>
      </c>
      <c r="G466" s="11" t="s">
        <v>22</v>
      </c>
      <c r="H466" s="11">
        <v>0</v>
      </c>
      <c r="I466" s="11">
        <v>0</v>
      </c>
      <c r="J466" s="11">
        <v>0</v>
      </c>
      <c r="K466" s="11">
        <v>0</v>
      </c>
      <c r="L466" s="11">
        <v>1372100</v>
      </c>
      <c r="M466" s="11">
        <v>1548000</v>
      </c>
      <c r="N466" s="11">
        <v>0</v>
      </c>
    </row>
    <row r="467" spans="1:14" x14ac:dyDescent="0.3">
      <c r="A467" s="10">
        <v>46020</v>
      </c>
      <c r="B467" t="s">
        <v>19</v>
      </c>
      <c r="C467" t="str">
        <f t="shared" si="22"/>
        <v>342856178467</v>
      </c>
      <c r="D467" t="str">
        <f t="shared" si="23"/>
        <v>Client467</v>
      </c>
      <c r="E467" t="str">
        <f t="shared" si="21"/>
        <v>BOB467</v>
      </c>
      <c r="F467" t="s">
        <v>24</v>
      </c>
      <c r="G467" s="11" t="s">
        <v>22</v>
      </c>
      <c r="H467" s="11">
        <v>0</v>
      </c>
      <c r="I467" s="11">
        <v>0</v>
      </c>
      <c r="J467" s="11">
        <v>0</v>
      </c>
      <c r="K467" s="11">
        <v>0</v>
      </c>
      <c r="L467" s="11">
        <v>5821900</v>
      </c>
      <c r="M467" s="11">
        <v>4873000</v>
      </c>
      <c r="N467" s="11">
        <v>0</v>
      </c>
    </row>
    <row r="468" spans="1:14" x14ac:dyDescent="0.3">
      <c r="A468" s="10">
        <v>46020</v>
      </c>
      <c r="B468" t="s">
        <v>19</v>
      </c>
      <c r="C468" t="str">
        <f t="shared" si="22"/>
        <v>342856178468</v>
      </c>
      <c r="D468" t="str">
        <f t="shared" si="23"/>
        <v>Client468</v>
      </c>
      <c r="E468" t="str">
        <f t="shared" si="21"/>
        <v>BOB468</v>
      </c>
      <c r="F468" t="s">
        <v>74</v>
      </c>
      <c r="G468" s="11" t="s">
        <v>22</v>
      </c>
      <c r="H468" s="11">
        <v>0</v>
      </c>
      <c r="I468" s="11">
        <v>0</v>
      </c>
      <c r="J468" s="11">
        <v>0</v>
      </c>
      <c r="K468" s="11">
        <v>0</v>
      </c>
      <c r="L468" s="11">
        <v>1101400</v>
      </c>
      <c r="M468" s="11">
        <v>2154300</v>
      </c>
      <c r="N468" s="11">
        <v>0</v>
      </c>
    </row>
    <row r="469" spans="1:14" x14ac:dyDescent="0.3">
      <c r="A469" s="10">
        <v>46020</v>
      </c>
      <c r="B469" t="s">
        <v>19</v>
      </c>
      <c r="C469" t="str">
        <f t="shared" si="22"/>
        <v>342856178469</v>
      </c>
      <c r="D469" t="str">
        <f t="shared" si="23"/>
        <v>Client469</v>
      </c>
      <c r="E469" t="str">
        <f t="shared" si="21"/>
        <v>BOB469</v>
      </c>
      <c r="F469" t="s">
        <v>24</v>
      </c>
      <c r="G469" s="11" t="s">
        <v>22</v>
      </c>
      <c r="H469" s="11">
        <v>0</v>
      </c>
      <c r="I469" s="11">
        <v>0</v>
      </c>
      <c r="J469" s="11">
        <v>0</v>
      </c>
      <c r="K469" s="11">
        <v>10588000</v>
      </c>
      <c r="L469" s="11">
        <v>6231400</v>
      </c>
      <c r="M469" s="11">
        <v>16495100</v>
      </c>
      <c r="N469" s="11">
        <v>0</v>
      </c>
    </row>
    <row r="470" spans="1:14" x14ac:dyDescent="0.3">
      <c r="A470" s="10">
        <v>46020</v>
      </c>
      <c r="B470" t="s">
        <v>19</v>
      </c>
      <c r="C470" t="str">
        <f t="shared" si="22"/>
        <v>342856178470</v>
      </c>
      <c r="D470" t="str">
        <f t="shared" si="23"/>
        <v>Client470</v>
      </c>
      <c r="E470" t="str">
        <f t="shared" si="21"/>
        <v>BOB470</v>
      </c>
      <c r="F470" t="s">
        <v>32</v>
      </c>
      <c r="G470" s="11" t="s">
        <v>22</v>
      </c>
      <c r="H470" s="11">
        <v>0</v>
      </c>
      <c r="I470" s="11">
        <v>0</v>
      </c>
      <c r="J470" s="11">
        <v>0</v>
      </c>
      <c r="K470" s="11">
        <v>0</v>
      </c>
      <c r="L470" s="11">
        <v>4702500</v>
      </c>
      <c r="M470" s="11">
        <v>5003900</v>
      </c>
      <c r="N470" s="11">
        <v>0</v>
      </c>
    </row>
    <row r="471" spans="1:14" x14ac:dyDescent="0.3">
      <c r="A471" s="10">
        <v>46020</v>
      </c>
      <c r="B471" t="s">
        <v>19</v>
      </c>
      <c r="C471" t="str">
        <f t="shared" si="22"/>
        <v>342856178471</v>
      </c>
      <c r="D471" t="str">
        <f t="shared" si="23"/>
        <v>Client471</v>
      </c>
      <c r="E471" t="str">
        <f t="shared" si="21"/>
        <v>BOB471</v>
      </c>
      <c r="F471" t="s">
        <v>21</v>
      </c>
      <c r="G471" s="11" t="s">
        <v>22</v>
      </c>
      <c r="H471" s="11">
        <v>0</v>
      </c>
      <c r="I471" s="11">
        <v>0</v>
      </c>
      <c r="J471" s="11">
        <v>7200000</v>
      </c>
      <c r="K471" s="11">
        <v>200200</v>
      </c>
      <c r="L471" s="11">
        <v>17448200</v>
      </c>
      <c r="M471" s="11">
        <v>7654900</v>
      </c>
      <c r="N471" s="11">
        <v>4000000</v>
      </c>
    </row>
    <row r="472" spans="1:14" x14ac:dyDescent="0.3">
      <c r="A472" s="10">
        <v>46020</v>
      </c>
      <c r="B472" t="s">
        <v>19</v>
      </c>
      <c r="C472" t="str">
        <f t="shared" si="22"/>
        <v>342856178472</v>
      </c>
      <c r="D472" t="str">
        <f t="shared" si="23"/>
        <v>Client472</v>
      </c>
      <c r="E472" t="str">
        <f t="shared" si="21"/>
        <v>BOB472</v>
      </c>
      <c r="F472" t="s">
        <v>32</v>
      </c>
      <c r="G472" s="11" t="s">
        <v>22</v>
      </c>
      <c r="H472" s="11">
        <v>0</v>
      </c>
      <c r="I472" s="11">
        <v>0</v>
      </c>
      <c r="J472" s="11">
        <v>0</v>
      </c>
      <c r="K472" s="11">
        <v>0</v>
      </c>
      <c r="L472" s="11">
        <v>1300400</v>
      </c>
      <c r="M472" s="11">
        <v>1280000</v>
      </c>
      <c r="N472" s="11">
        <v>0</v>
      </c>
    </row>
    <row r="473" spans="1:14" x14ac:dyDescent="0.3">
      <c r="A473" s="10">
        <v>46020</v>
      </c>
      <c r="B473" t="s">
        <v>19</v>
      </c>
      <c r="C473" t="str">
        <f t="shared" si="22"/>
        <v>342856178473</v>
      </c>
      <c r="D473" t="str">
        <f t="shared" si="23"/>
        <v>Client473</v>
      </c>
      <c r="E473" t="str">
        <f t="shared" si="21"/>
        <v>BOB473</v>
      </c>
      <c r="F473" t="s">
        <v>21</v>
      </c>
      <c r="G473" s="11" t="s">
        <v>22</v>
      </c>
      <c r="H473" s="11">
        <v>0</v>
      </c>
      <c r="I473" s="11">
        <v>0</v>
      </c>
      <c r="J473" s="11">
        <v>0</v>
      </c>
      <c r="K473" s="11">
        <v>0</v>
      </c>
      <c r="L473" s="11">
        <v>5670700</v>
      </c>
      <c r="M473" s="11">
        <v>6283600</v>
      </c>
      <c r="N473" s="11">
        <v>0</v>
      </c>
    </row>
    <row r="474" spans="1:14" x14ac:dyDescent="0.3">
      <c r="A474" s="10">
        <v>46020</v>
      </c>
      <c r="B474" t="s">
        <v>19</v>
      </c>
      <c r="C474" t="str">
        <f t="shared" si="22"/>
        <v>342856178474</v>
      </c>
      <c r="D474" t="str">
        <f t="shared" si="23"/>
        <v>Client474</v>
      </c>
      <c r="E474" t="str">
        <f t="shared" si="21"/>
        <v>BOB474</v>
      </c>
      <c r="F474" t="s">
        <v>32</v>
      </c>
      <c r="G474" s="11" t="s">
        <v>22</v>
      </c>
      <c r="H474" s="11">
        <v>0</v>
      </c>
      <c r="I474" s="11">
        <v>0</v>
      </c>
      <c r="J474" s="11">
        <v>0</v>
      </c>
      <c r="K474" s="11">
        <v>0</v>
      </c>
      <c r="L474" s="11">
        <v>7295700</v>
      </c>
      <c r="M474" s="11">
        <v>5197000</v>
      </c>
      <c r="N474" s="11">
        <v>0</v>
      </c>
    </row>
    <row r="475" spans="1:14" x14ac:dyDescent="0.3">
      <c r="A475" s="10">
        <v>46020</v>
      </c>
      <c r="B475" t="s">
        <v>19</v>
      </c>
      <c r="C475" t="str">
        <f t="shared" si="22"/>
        <v>342856178475</v>
      </c>
      <c r="D475" t="str">
        <f t="shared" si="23"/>
        <v>Client475</v>
      </c>
      <c r="E475" t="str">
        <f t="shared" si="21"/>
        <v>BOB475</v>
      </c>
      <c r="G475" s="11"/>
      <c r="H475" s="11">
        <v>0</v>
      </c>
      <c r="I475" s="11">
        <v>0</v>
      </c>
      <c r="J475" s="11">
        <v>0</v>
      </c>
      <c r="K475" s="11">
        <v>3000000</v>
      </c>
      <c r="L475" s="11">
        <v>7410800</v>
      </c>
      <c r="M475" s="11">
        <v>7423500</v>
      </c>
      <c r="N475" s="11">
        <v>0</v>
      </c>
    </row>
    <row r="476" spans="1:14" x14ac:dyDescent="0.3">
      <c r="A476" s="10">
        <v>46020</v>
      </c>
      <c r="B476" t="s">
        <v>19</v>
      </c>
      <c r="C476" t="str">
        <f t="shared" si="22"/>
        <v>342856178476</v>
      </c>
      <c r="D476" t="str">
        <f t="shared" si="23"/>
        <v>Client476</v>
      </c>
      <c r="E476" t="str">
        <f t="shared" si="21"/>
        <v>BOB476</v>
      </c>
      <c r="F476" t="s">
        <v>21</v>
      </c>
      <c r="G476" s="11" t="s">
        <v>22</v>
      </c>
      <c r="H476" s="11">
        <v>0</v>
      </c>
      <c r="I476" s="11">
        <v>0</v>
      </c>
      <c r="J476" s="11">
        <v>0</v>
      </c>
      <c r="K476" s="11">
        <v>500000</v>
      </c>
      <c r="L476" s="11">
        <v>2437900</v>
      </c>
      <c r="M476" s="11">
        <v>2897500</v>
      </c>
      <c r="N476" s="11">
        <v>0</v>
      </c>
    </row>
    <row r="477" spans="1:14" x14ac:dyDescent="0.3">
      <c r="A477" s="10">
        <v>46020</v>
      </c>
      <c r="B477" t="s">
        <v>19</v>
      </c>
      <c r="C477" t="str">
        <f t="shared" si="22"/>
        <v>342856178477</v>
      </c>
      <c r="D477" t="str">
        <f t="shared" si="23"/>
        <v>Client477</v>
      </c>
      <c r="E477" t="str">
        <f t="shared" si="21"/>
        <v>BOB477</v>
      </c>
      <c r="F477" t="s">
        <v>26</v>
      </c>
      <c r="G477" s="11" t="s">
        <v>27</v>
      </c>
      <c r="H477" s="11">
        <v>0</v>
      </c>
      <c r="I477" s="11">
        <v>0</v>
      </c>
      <c r="J477" s="11">
        <v>1500000</v>
      </c>
      <c r="K477" s="11">
        <v>0</v>
      </c>
      <c r="L477" s="11">
        <v>4057900</v>
      </c>
      <c r="M477" s="11">
        <v>2566000</v>
      </c>
      <c r="N477" s="11">
        <v>0</v>
      </c>
    </row>
    <row r="478" spans="1:14" x14ac:dyDescent="0.3">
      <c r="A478" s="10">
        <v>46020</v>
      </c>
      <c r="B478" t="s">
        <v>19</v>
      </c>
      <c r="C478" t="str">
        <f t="shared" si="22"/>
        <v>342856178478</v>
      </c>
      <c r="D478" t="str">
        <f t="shared" si="23"/>
        <v>Client478</v>
      </c>
      <c r="E478" t="str">
        <f t="shared" si="21"/>
        <v>BOB478</v>
      </c>
      <c r="F478" t="s">
        <v>21</v>
      </c>
      <c r="G478" s="11" t="s">
        <v>22</v>
      </c>
      <c r="H478" s="11">
        <v>0</v>
      </c>
      <c r="I478" s="11">
        <v>0</v>
      </c>
      <c r="J478" s="11">
        <v>0</v>
      </c>
      <c r="K478" s="11">
        <v>0</v>
      </c>
      <c r="L478" s="11">
        <v>3835400</v>
      </c>
      <c r="M478" s="11">
        <v>3759400</v>
      </c>
      <c r="N478" s="11">
        <v>0</v>
      </c>
    </row>
    <row r="479" spans="1:14" x14ac:dyDescent="0.3">
      <c r="A479" s="10">
        <v>46020</v>
      </c>
      <c r="B479" t="s">
        <v>19</v>
      </c>
      <c r="C479" t="str">
        <f t="shared" si="22"/>
        <v>342856178479</v>
      </c>
      <c r="D479" t="str">
        <f t="shared" si="23"/>
        <v>Client479</v>
      </c>
      <c r="E479" t="str">
        <f t="shared" si="21"/>
        <v>BOB479</v>
      </c>
      <c r="G479" s="11"/>
      <c r="H479" s="11">
        <v>0</v>
      </c>
      <c r="I479" s="11">
        <v>0</v>
      </c>
      <c r="J479" s="11">
        <v>0</v>
      </c>
      <c r="K479" s="11">
        <v>0</v>
      </c>
      <c r="L479" s="11">
        <v>1873300</v>
      </c>
      <c r="M479" s="11">
        <v>2874100</v>
      </c>
      <c r="N479" s="11">
        <v>0</v>
      </c>
    </row>
    <row r="480" spans="1:14" x14ac:dyDescent="0.3">
      <c r="A480" s="10">
        <v>46020</v>
      </c>
      <c r="B480" t="s">
        <v>19</v>
      </c>
      <c r="C480" t="str">
        <f t="shared" si="22"/>
        <v>342856178480</v>
      </c>
      <c r="D480" t="str">
        <f t="shared" si="23"/>
        <v>Client480</v>
      </c>
      <c r="E480" t="str">
        <f t="shared" si="21"/>
        <v>BOB480</v>
      </c>
      <c r="F480" t="s">
        <v>32</v>
      </c>
      <c r="G480" s="11" t="s">
        <v>22</v>
      </c>
      <c r="H480" s="11">
        <v>0</v>
      </c>
      <c r="I480" s="11">
        <v>0</v>
      </c>
      <c r="J480" s="11">
        <v>0</v>
      </c>
      <c r="K480" s="11">
        <v>2700000</v>
      </c>
      <c r="L480" s="11">
        <v>4701200</v>
      </c>
      <c r="M480" s="11">
        <v>5899500</v>
      </c>
      <c r="N480" s="11">
        <v>0</v>
      </c>
    </row>
    <row r="481" spans="1:14" x14ac:dyDescent="0.3">
      <c r="A481" s="10">
        <v>46020</v>
      </c>
      <c r="B481" t="s">
        <v>19</v>
      </c>
      <c r="C481" t="str">
        <f t="shared" si="22"/>
        <v>342856178481</v>
      </c>
      <c r="D481" t="str">
        <f t="shared" si="23"/>
        <v>Client481</v>
      </c>
      <c r="E481" t="str">
        <f t="shared" si="21"/>
        <v>BOB481</v>
      </c>
      <c r="F481" t="s">
        <v>24</v>
      </c>
      <c r="G481" s="11" t="s">
        <v>22</v>
      </c>
      <c r="H481" s="11">
        <v>0</v>
      </c>
      <c r="I481" s="11">
        <v>0</v>
      </c>
      <c r="J481" s="11">
        <v>0</v>
      </c>
      <c r="K481" s="11">
        <v>1550000</v>
      </c>
      <c r="L481" s="11">
        <v>3437800</v>
      </c>
      <c r="M481" s="11">
        <v>5020000</v>
      </c>
      <c r="N481" s="11">
        <v>0</v>
      </c>
    </row>
    <row r="482" spans="1:14" x14ac:dyDescent="0.3">
      <c r="A482" s="10">
        <v>46020</v>
      </c>
      <c r="B482" t="s">
        <v>19</v>
      </c>
      <c r="C482" t="str">
        <f t="shared" si="22"/>
        <v>342856178482</v>
      </c>
      <c r="D482" t="str">
        <f t="shared" si="23"/>
        <v>Client482</v>
      </c>
      <c r="E482" t="str">
        <f t="shared" si="21"/>
        <v>BOB482</v>
      </c>
      <c r="F482" t="s">
        <v>32</v>
      </c>
      <c r="G482" s="11" t="s">
        <v>22</v>
      </c>
      <c r="H482" s="11">
        <v>6000000</v>
      </c>
      <c r="I482" s="11">
        <v>700000</v>
      </c>
      <c r="J482" s="11">
        <v>0</v>
      </c>
      <c r="K482" s="11">
        <v>0</v>
      </c>
      <c r="L482" s="11">
        <v>9761000</v>
      </c>
      <c r="M482" s="11">
        <v>4449200</v>
      </c>
      <c r="N482" s="11">
        <v>0</v>
      </c>
    </row>
    <row r="483" spans="1:14" x14ac:dyDescent="0.3">
      <c r="A483" s="10">
        <v>46020</v>
      </c>
      <c r="B483" t="s">
        <v>19</v>
      </c>
      <c r="C483" t="str">
        <f t="shared" si="22"/>
        <v>342856178483</v>
      </c>
      <c r="D483" t="str">
        <f t="shared" si="23"/>
        <v>Client483</v>
      </c>
      <c r="E483" t="str">
        <f t="shared" si="21"/>
        <v>BOB483</v>
      </c>
      <c r="F483" t="s">
        <v>26</v>
      </c>
      <c r="G483" s="11" t="s">
        <v>27</v>
      </c>
      <c r="H483" s="11">
        <v>0</v>
      </c>
      <c r="I483" s="11">
        <v>0</v>
      </c>
      <c r="J483" s="11">
        <v>0</v>
      </c>
      <c r="K483" s="11">
        <v>400000</v>
      </c>
      <c r="L483" s="11">
        <v>21049400</v>
      </c>
      <c r="M483" s="11">
        <v>21095300</v>
      </c>
      <c r="N483" s="11">
        <v>0</v>
      </c>
    </row>
    <row r="484" spans="1:14" x14ac:dyDescent="0.3">
      <c r="A484" s="10">
        <v>46020</v>
      </c>
      <c r="B484" t="s">
        <v>19</v>
      </c>
      <c r="C484" t="str">
        <f t="shared" si="22"/>
        <v>342856178484</v>
      </c>
      <c r="D484" t="str">
        <f t="shared" si="23"/>
        <v>Client484</v>
      </c>
      <c r="E484" t="str">
        <f t="shared" si="21"/>
        <v>BOB484</v>
      </c>
      <c r="F484" t="s">
        <v>26</v>
      </c>
      <c r="G484" s="11" t="s">
        <v>27</v>
      </c>
      <c r="H484" s="11">
        <v>0</v>
      </c>
      <c r="I484" s="11">
        <v>0</v>
      </c>
      <c r="J484" s="11">
        <v>0</v>
      </c>
      <c r="K484" s="11">
        <v>0</v>
      </c>
      <c r="L484" s="11">
        <v>203100</v>
      </c>
      <c r="M484" s="11">
        <v>0</v>
      </c>
      <c r="N484" s="11">
        <v>0</v>
      </c>
    </row>
    <row r="485" spans="1:14" x14ac:dyDescent="0.3">
      <c r="A485" s="10">
        <v>46020</v>
      </c>
      <c r="B485" t="s">
        <v>19</v>
      </c>
      <c r="C485" t="str">
        <f t="shared" si="22"/>
        <v>342856178485</v>
      </c>
      <c r="D485" t="str">
        <f t="shared" si="23"/>
        <v>Client485</v>
      </c>
      <c r="E485" t="str">
        <f t="shared" si="21"/>
        <v>BOB485</v>
      </c>
      <c r="F485" t="s">
        <v>24</v>
      </c>
      <c r="G485" s="11" t="s">
        <v>22</v>
      </c>
      <c r="H485" s="11">
        <v>0</v>
      </c>
      <c r="I485" s="11">
        <v>0</v>
      </c>
      <c r="J485" s="11">
        <v>0</v>
      </c>
      <c r="K485" s="11">
        <v>0</v>
      </c>
      <c r="L485" s="11">
        <v>6937700</v>
      </c>
      <c r="M485" s="11">
        <v>7378700</v>
      </c>
      <c r="N485" s="11">
        <v>0</v>
      </c>
    </row>
    <row r="486" spans="1:14" x14ac:dyDescent="0.3">
      <c r="A486" s="10">
        <v>46020</v>
      </c>
      <c r="B486" t="s">
        <v>19</v>
      </c>
      <c r="C486" t="str">
        <f t="shared" si="22"/>
        <v>342856178486</v>
      </c>
      <c r="D486" t="str">
        <f t="shared" si="23"/>
        <v>Client486</v>
      </c>
      <c r="E486" t="str">
        <f t="shared" si="21"/>
        <v>BOB486</v>
      </c>
      <c r="G486" s="11"/>
      <c r="H486" s="11">
        <v>0</v>
      </c>
      <c r="I486" s="11">
        <v>0</v>
      </c>
      <c r="J486" s="11">
        <v>0</v>
      </c>
      <c r="K486" s="11">
        <v>2803000</v>
      </c>
      <c r="L486" s="11">
        <v>4145300</v>
      </c>
      <c r="M486" s="11">
        <v>3882500</v>
      </c>
      <c r="N486" s="11">
        <v>0</v>
      </c>
    </row>
    <row r="487" spans="1:14" x14ac:dyDescent="0.3">
      <c r="A487" s="10">
        <v>46020</v>
      </c>
      <c r="B487" t="s">
        <v>19</v>
      </c>
      <c r="C487" t="str">
        <f t="shared" si="22"/>
        <v>342856178487</v>
      </c>
      <c r="D487" t="str">
        <f t="shared" si="23"/>
        <v>Client487</v>
      </c>
      <c r="E487" t="str">
        <f t="shared" si="21"/>
        <v>BOB487</v>
      </c>
      <c r="F487" t="s">
        <v>24</v>
      </c>
      <c r="G487" s="11" t="s">
        <v>22</v>
      </c>
      <c r="H487" s="11">
        <v>0</v>
      </c>
      <c r="I487" s="11">
        <v>0</v>
      </c>
      <c r="J487" s="11">
        <v>0</v>
      </c>
      <c r="K487" s="11">
        <v>600000</v>
      </c>
      <c r="L487" s="11">
        <v>4930900</v>
      </c>
      <c r="M487" s="11">
        <v>6597500</v>
      </c>
      <c r="N487" s="11">
        <v>0</v>
      </c>
    </row>
    <row r="488" spans="1:14" x14ac:dyDescent="0.3">
      <c r="A488" s="10">
        <v>46020</v>
      </c>
      <c r="B488" t="s">
        <v>19</v>
      </c>
      <c r="C488" t="str">
        <f t="shared" si="22"/>
        <v>342856178488</v>
      </c>
      <c r="D488" t="str">
        <f t="shared" si="23"/>
        <v>Client488</v>
      </c>
      <c r="E488" t="str">
        <f t="shared" si="21"/>
        <v>BOB488</v>
      </c>
      <c r="F488" t="s">
        <v>21</v>
      </c>
      <c r="G488" s="11" t="s">
        <v>22</v>
      </c>
      <c r="H488" s="11">
        <v>0</v>
      </c>
      <c r="I488" s="11">
        <v>0</v>
      </c>
      <c r="J488" s="11">
        <v>0</v>
      </c>
      <c r="K488" s="11">
        <v>0</v>
      </c>
      <c r="L488" s="11">
        <v>0</v>
      </c>
      <c r="M488" s="11">
        <v>0</v>
      </c>
      <c r="N488" s="11">
        <v>0</v>
      </c>
    </row>
    <row r="489" spans="1:14" x14ac:dyDescent="0.3">
      <c r="A489" s="10">
        <v>46020</v>
      </c>
      <c r="B489" t="s">
        <v>19</v>
      </c>
      <c r="C489" t="str">
        <f t="shared" si="22"/>
        <v>342856178489</v>
      </c>
      <c r="D489" t="str">
        <f t="shared" si="23"/>
        <v>Client489</v>
      </c>
      <c r="E489" t="str">
        <f t="shared" si="21"/>
        <v>BOB489</v>
      </c>
      <c r="F489" t="s">
        <v>32</v>
      </c>
      <c r="G489" s="11" t="s">
        <v>22</v>
      </c>
      <c r="H489" s="11">
        <v>0</v>
      </c>
      <c r="I489" s="11">
        <v>0</v>
      </c>
      <c r="J489" s="11">
        <v>7020000</v>
      </c>
      <c r="K489" s="11">
        <v>2020000</v>
      </c>
      <c r="L489" s="11">
        <v>14993300</v>
      </c>
      <c r="M489" s="11">
        <v>10187500</v>
      </c>
      <c r="N489" s="11">
        <v>0</v>
      </c>
    </row>
    <row r="490" spans="1:14" x14ac:dyDescent="0.3">
      <c r="A490" s="10">
        <v>46020</v>
      </c>
      <c r="B490" t="s">
        <v>19</v>
      </c>
      <c r="C490" t="str">
        <f t="shared" si="22"/>
        <v>342856178490</v>
      </c>
      <c r="D490" t="str">
        <f t="shared" si="23"/>
        <v>Client490</v>
      </c>
      <c r="E490" t="str">
        <f t="shared" si="21"/>
        <v>BOB490</v>
      </c>
      <c r="F490" t="s">
        <v>21</v>
      </c>
      <c r="G490" s="11" t="s">
        <v>22</v>
      </c>
      <c r="H490" s="11">
        <v>17000000</v>
      </c>
      <c r="I490" s="11">
        <v>25926500</v>
      </c>
      <c r="J490" s="11">
        <v>40584500</v>
      </c>
      <c r="K490" s="11">
        <v>20037700</v>
      </c>
      <c r="L490" s="11">
        <v>23147200</v>
      </c>
      <c r="M490" s="11">
        <v>12066100</v>
      </c>
      <c r="N490" s="11">
        <v>0</v>
      </c>
    </row>
    <row r="491" spans="1:14" x14ac:dyDescent="0.3">
      <c r="A491" s="10">
        <v>46020</v>
      </c>
      <c r="B491" t="s">
        <v>19</v>
      </c>
      <c r="C491" t="str">
        <f t="shared" si="22"/>
        <v>342856178491</v>
      </c>
      <c r="D491" t="str">
        <f t="shared" si="23"/>
        <v>Client491</v>
      </c>
      <c r="E491" t="str">
        <f t="shared" si="21"/>
        <v>BOB491</v>
      </c>
      <c r="F491" t="s">
        <v>26</v>
      </c>
      <c r="G491" s="11" t="s">
        <v>27</v>
      </c>
      <c r="H491" s="11">
        <v>0</v>
      </c>
      <c r="I491" s="11">
        <v>0</v>
      </c>
      <c r="J491" s="11">
        <v>4000000</v>
      </c>
      <c r="K491" s="11">
        <v>2000000</v>
      </c>
      <c r="L491" s="11">
        <v>6019300</v>
      </c>
      <c r="M491" s="11">
        <v>3168300</v>
      </c>
      <c r="N491" s="11">
        <v>0</v>
      </c>
    </row>
    <row r="492" spans="1:14" x14ac:dyDescent="0.3">
      <c r="A492" s="10">
        <v>46020</v>
      </c>
      <c r="B492" t="s">
        <v>19</v>
      </c>
      <c r="C492" t="str">
        <f t="shared" si="22"/>
        <v>342856178492</v>
      </c>
      <c r="D492" t="str">
        <f t="shared" si="23"/>
        <v>Client492</v>
      </c>
      <c r="E492" t="str">
        <f t="shared" si="21"/>
        <v>BOB492</v>
      </c>
      <c r="F492" t="s">
        <v>21</v>
      </c>
      <c r="G492" s="11" t="s">
        <v>22</v>
      </c>
      <c r="H492" s="11">
        <v>0</v>
      </c>
      <c r="I492" s="11">
        <v>0</v>
      </c>
      <c r="J492" s="11">
        <v>800000</v>
      </c>
      <c r="K492" s="11">
        <v>0</v>
      </c>
      <c r="L492" s="11">
        <v>800000</v>
      </c>
      <c r="M492" s="11">
        <v>0</v>
      </c>
      <c r="N492" s="11">
        <v>0</v>
      </c>
    </row>
    <row r="493" spans="1:14" x14ac:dyDescent="0.3">
      <c r="A493" s="10">
        <v>46020</v>
      </c>
      <c r="B493" t="s">
        <v>19</v>
      </c>
      <c r="C493" t="str">
        <f t="shared" si="22"/>
        <v>342856178493</v>
      </c>
      <c r="D493" t="str">
        <f t="shared" si="23"/>
        <v>Client493</v>
      </c>
      <c r="E493" t="str">
        <f t="shared" si="21"/>
        <v>BOB493</v>
      </c>
      <c r="F493" t="s">
        <v>21</v>
      </c>
      <c r="G493" s="11" t="s">
        <v>22</v>
      </c>
      <c r="H493" s="11">
        <v>0</v>
      </c>
      <c r="I493" s="11">
        <v>0</v>
      </c>
      <c r="J493" s="11">
        <v>0</v>
      </c>
      <c r="K493" s="11">
        <v>0</v>
      </c>
      <c r="L493" s="11">
        <v>12347800</v>
      </c>
      <c r="M493" s="11">
        <v>10494600</v>
      </c>
      <c r="N493" s="11">
        <v>0</v>
      </c>
    </row>
    <row r="494" spans="1:14" x14ac:dyDescent="0.3">
      <c r="A494" s="10">
        <v>46020</v>
      </c>
      <c r="B494" t="s">
        <v>19</v>
      </c>
      <c r="C494" t="str">
        <f t="shared" si="22"/>
        <v>342856178494</v>
      </c>
      <c r="D494" t="str">
        <f t="shared" si="23"/>
        <v>Client494</v>
      </c>
      <c r="E494" t="str">
        <f t="shared" si="21"/>
        <v>BOB494</v>
      </c>
      <c r="F494" t="s">
        <v>24</v>
      </c>
      <c r="G494" s="11" t="s">
        <v>22</v>
      </c>
      <c r="H494" s="11">
        <v>0</v>
      </c>
      <c r="I494" s="11">
        <v>0</v>
      </c>
      <c r="J494" s="11">
        <v>0</v>
      </c>
      <c r="K494" s="11">
        <v>2580000</v>
      </c>
      <c r="L494" s="11">
        <v>16036000</v>
      </c>
      <c r="M494" s="11">
        <v>17727300</v>
      </c>
      <c r="N494" s="11">
        <v>0</v>
      </c>
    </row>
    <row r="495" spans="1:14" x14ac:dyDescent="0.3">
      <c r="A495" s="10">
        <v>46020</v>
      </c>
      <c r="B495" t="s">
        <v>19</v>
      </c>
      <c r="C495" t="str">
        <f t="shared" si="22"/>
        <v>342856178495</v>
      </c>
      <c r="D495" t="str">
        <f t="shared" si="23"/>
        <v>Client495</v>
      </c>
      <c r="E495" t="str">
        <f t="shared" si="21"/>
        <v>BOB495</v>
      </c>
      <c r="G495" s="11"/>
      <c r="H495" s="11">
        <v>0</v>
      </c>
      <c r="I495" s="11">
        <v>0</v>
      </c>
      <c r="J495" s="11">
        <v>0</v>
      </c>
      <c r="K495" s="11">
        <v>0</v>
      </c>
      <c r="L495" s="11">
        <v>41100</v>
      </c>
      <c r="M495" s="11">
        <v>813000</v>
      </c>
      <c r="N495" s="11">
        <v>0</v>
      </c>
    </row>
    <row r="496" spans="1:14" x14ac:dyDescent="0.3">
      <c r="A496" s="10">
        <v>46020</v>
      </c>
      <c r="B496" t="s">
        <v>19</v>
      </c>
      <c r="C496" t="str">
        <f t="shared" si="22"/>
        <v>342856178496</v>
      </c>
      <c r="D496" t="str">
        <f t="shared" si="23"/>
        <v>Client496</v>
      </c>
      <c r="E496" t="str">
        <f t="shared" si="21"/>
        <v>BOB496</v>
      </c>
      <c r="F496" t="s">
        <v>21</v>
      </c>
      <c r="G496" s="11" t="s">
        <v>22</v>
      </c>
      <c r="H496" s="11">
        <v>0</v>
      </c>
      <c r="I496" s="11">
        <v>0</v>
      </c>
      <c r="J496" s="11">
        <v>24040000</v>
      </c>
      <c r="K496" s="11">
        <v>0</v>
      </c>
      <c r="L496" s="11">
        <v>24191500</v>
      </c>
      <c r="M496" s="11">
        <v>0</v>
      </c>
      <c r="N496" s="11">
        <v>0</v>
      </c>
    </row>
    <row r="497" spans="1:14" x14ac:dyDescent="0.3">
      <c r="A497" s="10">
        <v>46020</v>
      </c>
      <c r="B497" t="s">
        <v>19</v>
      </c>
      <c r="C497" t="str">
        <f t="shared" si="22"/>
        <v>342856178497</v>
      </c>
      <c r="D497" t="str">
        <f t="shared" si="23"/>
        <v>Client497</v>
      </c>
      <c r="E497" t="str">
        <f t="shared" si="21"/>
        <v>BOB497</v>
      </c>
      <c r="F497" t="s">
        <v>32</v>
      </c>
      <c r="G497" s="11" t="s">
        <v>22</v>
      </c>
      <c r="H497" s="11">
        <v>0</v>
      </c>
      <c r="I497" s="11">
        <v>0</v>
      </c>
      <c r="J497" s="11">
        <v>0</v>
      </c>
      <c r="K497" s="11">
        <v>0</v>
      </c>
      <c r="L497" s="11">
        <v>16612000</v>
      </c>
      <c r="M497" s="11">
        <v>9352000</v>
      </c>
      <c r="N497" s="11">
        <v>0</v>
      </c>
    </row>
    <row r="498" spans="1:14" x14ac:dyDescent="0.3">
      <c r="A498" s="10">
        <v>46020</v>
      </c>
      <c r="B498" t="s">
        <v>19</v>
      </c>
      <c r="C498" t="str">
        <f t="shared" si="22"/>
        <v>342856178498</v>
      </c>
      <c r="D498" t="str">
        <f t="shared" si="23"/>
        <v>Client498</v>
      </c>
      <c r="E498" t="str">
        <f t="shared" si="21"/>
        <v>BOB498</v>
      </c>
      <c r="F498" t="s">
        <v>21</v>
      </c>
      <c r="G498" s="11" t="s">
        <v>22</v>
      </c>
      <c r="H498" s="11">
        <v>0</v>
      </c>
      <c r="I498" s="11">
        <v>0</v>
      </c>
      <c r="J498" s="11">
        <v>45500000</v>
      </c>
      <c r="K498" s="11">
        <v>11000000</v>
      </c>
      <c r="L498" s="11">
        <v>40028700</v>
      </c>
      <c r="M498" s="11">
        <v>5640500</v>
      </c>
      <c r="N498" s="11">
        <v>0</v>
      </c>
    </row>
    <row r="499" spans="1:14" x14ac:dyDescent="0.3">
      <c r="A499" s="10">
        <v>46020</v>
      </c>
      <c r="B499" t="s">
        <v>19</v>
      </c>
      <c r="C499" t="str">
        <f t="shared" si="22"/>
        <v>342856178499</v>
      </c>
      <c r="D499" t="str">
        <f t="shared" si="23"/>
        <v>Client499</v>
      </c>
      <c r="E499" t="str">
        <f t="shared" si="21"/>
        <v>BOB499</v>
      </c>
      <c r="F499" t="s">
        <v>24</v>
      </c>
      <c r="G499" s="11" t="s">
        <v>22</v>
      </c>
      <c r="H499" s="11">
        <v>0</v>
      </c>
      <c r="I499" s="11">
        <v>0</v>
      </c>
      <c r="J499" s="11">
        <v>0</v>
      </c>
      <c r="K499" s="11">
        <v>4000000</v>
      </c>
      <c r="L499" s="11">
        <v>13062200</v>
      </c>
      <c r="M499" s="11">
        <v>17554200</v>
      </c>
      <c r="N499" s="11">
        <v>0</v>
      </c>
    </row>
    <row r="500" spans="1:14" x14ac:dyDescent="0.3">
      <c r="A500" s="10">
        <v>46020</v>
      </c>
      <c r="B500" t="s">
        <v>19</v>
      </c>
      <c r="C500" t="str">
        <f t="shared" si="22"/>
        <v>342856178500</v>
      </c>
      <c r="D500" t="str">
        <f t="shared" si="23"/>
        <v>Client500</v>
      </c>
      <c r="E500" t="str">
        <f t="shared" si="21"/>
        <v>BOB500</v>
      </c>
      <c r="F500" t="s">
        <v>30</v>
      </c>
      <c r="G500" s="11" t="s">
        <v>22</v>
      </c>
      <c r="H500" s="11">
        <v>0</v>
      </c>
      <c r="I500" s="11">
        <v>0</v>
      </c>
      <c r="J500" s="11">
        <v>0</v>
      </c>
      <c r="K500" s="11">
        <v>0</v>
      </c>
      <c r="L500" s="11">
        <v>0</v>
      </c>
      <c r="M500" s="11">
        <v>0</v>
      </c>
      <c r="N500" s="11">
        <v>0</v>
      </c>
    </row>
    <row r="501" spans="1:14" x14ac:dyDescent="0.3">
      <c r="A501" s="10">
        <v>46020</v>
      </c>
      <c r="B501" t="s">
        <v>19</v>
      </c>
      <c r="C501" t="str">
        <f t="shared" si="22"/>
        <v>342856178501</v>
      </c>
      <c r="D501" t="str">
        <f t="shared" si="23"/>
        <v>Client501</v>
      </c>
      <c r="E501" t="str">
        <f t="shared" si="21"/>
        <v>BOB501</v>
      </c>
      <c r="G501" s="11"/>
      <c r="H501" s="11">
        <v>0</v>
      </c>
      <c r="I501" s="11">
        <v>0</v>
      </c>
      <c r="J501" s="11">
        <v>0</v>
      </c>
      <c r="K501" s="11">
        <v>0</v>
      </c>
      <c r="L501" s="11">
        <v>61900</v>
      </c>
      <c r="M501" s="11">
        <v>62000</v>
      </c>
      <c r="N501" s="11">
        <v>0</v>
      </c>
    </row>
    <row r="502" spans="1:14" x14ac:dyDescent="0.3">
      <c r="A502" s="10">
        <v>46020</v>
      </c>
      <c r="B502" t="s">
        <v>19</v>
      </c>
      <c r="C502" t="str">
        <f t="shared" si="22"/>
        <v>342856178502</v>
      </c>
      <c r="D502" t="str">
        <f t="shared" si="23"/>
        <v>Client502</v>
      </c>
      <c r="E502" t="str">
        <f t="shared" si="21"/>
        <v>BOB502</v>
      </c>
      <c r="F502" t="s">
        <v>30</v>
      </c>
      <c r="G502" s="11" t="s">
        <v>22</v>
      </c>
      <c r="H502" s="11">
        <v>0</v>
      </c>
      <c r="I502" s="11">
        <v>0</v>
      </c>
      <c r="J502" s="11">
        <v>0</v>
      </c>
      <c r="K502" s="11">
        <v>1001500</v>
      </c>
      <c r="L502" s="11">
        <v>11515000</v>
      </c>
      <c r="M502" s="11">
        <v>14407300</v>
      </c>
      <c r="N502" s="11">
        <v>0</v>
      </c>
    </row>
    <row r="503" spans="1:14" x14ac:dyDescent="0.3">
      <c r="A503" s="10">
        <v>46020</v>
      </c>
      <c r="B503" t="s">
        <v>19</v>
      </c>
      <c r="C503" t="str">
        <f t="shared" si="22"/>
        <v>342856178503</v>
      </c>
      <c r="D503" t="str">
        <f t="shared" si="23"/>
        <v>Client503</v>
      </c>
      <c r="E503" t="str">
        <f t="shared" si="21"/>
        <v>BOB503</v>
      </c>
      <c r="F503" t="s">
        <v>21</v>
      </c>
      <c r="G503" s="11" t="s">
        <v>22</v>
      </c>
      <c r="H503" s="11">
        <v>0</v>
      </c>
      <c r="I503" s="11">
        <v>0</v>
      </c>
      <c r="J503" s="11">
        <v>0</v>
      </c>
      <c r="K503" s="11">
        <v>0</v>
      </c>
      <c r="L503" s="11">
        <v>0</v>
      </c>
      <c r="M503" s="11">
        <v>0</v>
      </c>
      <c r="N503" s="11">
        <v>0</v>
      </c>
    </row>
    <row r="504" spans="1:14" x14ac:dyDescent="0.3">
      <c r="A504" s="10">
        <v>46020</v>
      </c>
      <c r="B504" t="s">
        <v>19</v>
      </c>
      <c r="C504" t="str">
        <f t="shared" si="22"/>
        <v>342856178504</v>
      </c>
      <c r="D504" t="str">
        <f t="shared" si="23"/>
        <v>Client504</v>
      </c>
      <c r="E504" t="str">
        <f t="shared" si="21"/>
        <v>BOB504</v>
      </c>
      <c r="F504" t="s">
        <v>73</v>
      </c>
      <c r="G504" s="11" t="s">
        <v>77</v>
      </c>
      <c r="H504" s="11">
        <v>0</v>
      </c>
      <c r="I504" s="11">
        <v>0</v>
      </c>
      <c r="J504" s="11">
        <v>0</v>
      </c>
      <c r="K504" s="11">
        <v>2002000</v>
      </c>
      <c r="L504" s="11">
        <v>11545800</v>
      </c>
      <c r="M504" s="11">
        <v>14521900</v>
      </c>
      <c r="N504" s="11">
        <v>0</v>
      </c>
    </row>
    <row r="505" spans="1:14" x14ac:dyDescent="0.3">
      <c r="A505" s="10">
        <v>46020</v>
      </c>
      <c r="B505" t="s">
        <v>19</v>
      </c>
      <c r="C505" t="str">
        <f t="shared" si="22"/>
        <v>342856178505</v>
      </c>
      <c r="D505" t="str">
        <f t="shared" si="23"/>
        <v>Client505</v>
      </c>
      <c r="E505" t="str">
        <f t="shared" si="21"/>
        <v>BOB505</v>
      </c>
      <c r="G505" s="11"/>
      <c r="H505" s="11">
        <v>0</v>
      </c>
      <c r="I505" s="11">
        <v>400000</v>
      </c>
      <c r="J505" s="11">
        <v>400000</v>
      </c>
      <c r="K505" s="11">
        <v>0</v>
      </c>
      <c r="L505" s="11">
        <v>28761900</v>
      </c>
      <c r="M505" s="11">
        <v>28204200</v>
      </c>
      <c r="N505" s="11">
        <v>0</v>
      </c>
    </row>
    <row r="506" spans="1:14" x14ac:dyDescent="0.3">
      <c r="A506" s="10">
        <v>46020</v>
      </c>
      <c r="B506" t="s">
        <v>19</v>
      </c>
      <c r="C506" t="str">
        <f t="shared" si="22"/>
        <v>342856178506</v>
      </c>
      <c r="D506" t="str">
        <f t="shared" si="23"/>
        <v>Client506</v>
      </c>
      <c r="E506" t="str">
        <f t="shared" si="21"/>
        <v>BOB506</v>
      </c>
      <c r="F506" t="s">
        <v>32</v>
      </c>
      <c r="G506" s="11" t="s">
        <v>22</v>
      </c>
      <c r="H506" s="11">
        <v>0</v>
      </c>
      <c r="I506" s="11">
        <v>0</v>
      </c>
      <c r="J506" s="11">
        <v>0</v>
      </c>
      <c r="K506" s="11">
        <v>0</v>
      </c>
      <c r="L506" s="11">
        <v>17821100</v>
      </c>
      <c r="M506" s="11">
        <v>17778500</v>
      </c>
      <c r="N506" s="11">
        <v>0</v>
      </c>
    </row>
    <row r="507" spans="1:14" x14ac:dyDescent="0.3">
      <c r="A507" s="10">
        <v>46020</v>
      </c>
      <c r="B507" t="s">
        <v>19</v>
      </c>
      <c r="C507" t="str">
        <f t="shared" si="22"/>
        <v>342856178507</v>
      </c>
      <c r="D507" t="str">
        <f t="shared" si="23"/>
        <v>Client507</v>
      </c>
      <c r="E507" t="str">
        <f t="shared" si="21"/>
        <v>BOB507</v>
      </c>
      <c r="F507" t="s">
        <v>21</v>
      </c>
      <c r="G507" s="11" t="s">
        <v>22</v>
      </c>
      <c r="H507" s="11">
        <v>0</v>
      </c>
      <c r="I507" s="11">
        <v>0</v>
      </c>
      <c r="J507" s="11">
        <v>0</v>
      </c>
      <c r="K507" s="11">
        <v>8000000</v>
      </c>
      <c r="L507" s="11">
        <v>1000</v>
      </c>
      <c r="M507" s="11">
        <v>0</v>
      </c>
      <c r="N507" s="11">
        <v>8000000</v>
      </c>
    </row>
    <row r="508" spans="1:14" x14ac:dyDescent="0.3">
      <c r="A508" s="10">
        <v>46020</v>
      </c>
      <c r="B508" t="s">
        <v>19</v>
      </c>
      <c r="C508" t="str">
        <f t="shared" si="22"/>
        <v>342856178508</v>
      </c>
      <c r="D508" t="str">
        <f t="shared" si="23"/>
        <v>Client508</v>
      </c>
      <c r="E508" t="str">
        <f t="shared" si="21"/>
        <v>BOB508</v>
      </c>
      <c r="F508" t="s">
        <v>32</v>
      </c>
      <c r="G508" s="11" t="s">
        <v>22</v>
      </c>
      <c r="H508" s="11">
        <v>0</v>
      </c>
      <c r="I508" s="11">
        <v>15022500</v>
      </c>
      <c r="J508" s="11">
        <v>0</v>
      </c>
      <c r="K508" s="11">
        <v>0</v>
      </c>
      <c r="L508" s="11">
        <v>12493900</v>
      </c>
      <c r="M508" s="11">
        <v>30701200</v>
      </c>
      <c r="N508" s="11">
        <v>0</v>
      </c>
    </row>
    <row r="509" spans="1:14" x14ac:dyDescent="0.3">
      <c r="A509" s="10">
        <v>46020</v>
      </c>
      <c r="B509" t="s">
        <v>19</v>
      </c>
      <c r="C509" t="str">
        <f t="shared" si="22"/>
        <v>342856178509</v>
      </c>
      <c r="D509" t="str">
        <f t="shared" si="23"/>
        <v>Client509</v>
      </c>
      <c r="E509" t="str">
        <f t="shared" si="21"/>
        <v>BOB509</v>
      </c>
      <c r="F509" t="s">
        <v>74</v>
      </c>
      <c r="G509" s="11" t="s">
        <v>22</v>
      </c>
      <c r="H509" s="11">
        <v>0</v>
      </c>
      <c r="I509" s="11">
        <v>0</v>
      </c>
      <c r="J509" s="11">
        <v>2000000</v>
      </c>
      <c r="K509" s="11">
        <v>0</v>
      </c>
      <c r="L509" s="11">
        <v>36435800</v>
      </c>
      <c r="M509" s="11">
        <v>34817200</v>
      </c>
      <c r="N509" s="11">
        <v>0</v>
      </c>
    </row>
    <row r="510" spans="1:14" x14ac:dyDescent="0.3">
      <c r="A510" s="10">
        <v>46020</v>
      </c>
      <c r="B510" t="s">
        <v>19</v>
      </c>
      <c r="C510" t="str">
        <f t="shared" si="22"/>
        <v>342856178510</v>
      </c>
      <c r="D510" t="str">
        <f t="shared" si="23"/>
        <v>Client510</v>
      </c>
      <c r="E510" t="str">
        <f t="shared" si="21"/>
        <v>BOB510</v>
      </c>
      <c r="F510" t="s">
        <v>21</v>
      </c>
      <c r="G510" s="11" t="s">
        <v>22</v>
      </c>
      <c r="H510" s="11">
        <v>0</v>
      </c>
      <c r="I510" s="11">
        <v>0</v>
      </c>
      <c r="J510" s="11">
        <v>2800000</v>
      </c>
      <c r="K510" s="11">
        <v>2700000</v>
      </c>
      <c r="L510" s="11">
        <v>14919000</v>
      </c>
      <c r="M510" s="11">
        <v>14684800</v>
      </c>
      <c r="N510" s="11">
        <v>0</v>
      </c>
    </row>
    <row r="511" spans="1:14" x14ac:dyDescent="0.3">
      <c r="A511" s="10">
        <v>46020</v>
      </c>
      <c r="B511" t="s">
        <v>19</v>
      </c>
      <c r="C511" t="str">
        <f t="shared" si="22"/>
        <v>342856178511</v>
      </c>
      <c r="D511" t="str">
        <f t="shared" si="23"/>
        <v>Client511</v>
      </c>
      <c r="E511" t="str">
        <f t="shared" si="21"/>
        <v>BOB511</v>
      </c>
      <c r="F511" t="s">
        <v>32</v>
      </c>
      <c r="G511" s="11" t="s">
        <v>22</v>
      </c>
      <c r="H511" s="11">
        <v>0</v>
      </c>
      <c r="I511" s="11">
        <v>0</v>
      </c>
      <c r="J511" s="11">
        <v>0</v>
      </c>
      <c r="K511" s="11">
        <v>1650000</v>
      </c>
      <c r="L511" s="11">
        <v>4162900</v>
      </c>
      <c r="M511" s="11">
        <v>6303900</v>
      </c>
      <c r="N511" s="11">
        <v>0</v>
      </c>
    </row>
    <row r="512" spans="1:14" x14ac:dyDescent="0.3">
      <c r="A512" s="10">
        <v>46020</v>
      </c>
      <c r="B512" t="s">
        <v>19</v>
      </c>
      <c r="C512" t="str">
        <f t="shared" si="22"/>
        <v>342856178512</v>
      </c>
      <c r="D512" t="str">
        <f t="shared" si="23"/>
        <v>Client512</v>
      </c>
      <c r="E512" t="str">
        <f t="shared" si="21"/>
        <v>BOB512</v>
      </c>
      <c r="F512" t="s">
        <v>24</v>
      </c>
      <c r="G512" s="11" t="s">
        <v>22</v>
      </c>
      <c r="H512" s="11">
        <v>0</v>
      </c>
      <c r="I512" s="11">
        <v>0</v>
      </c>
      <c r="J512" s="11">
        <v>34726899</v>
      </c>
      <c r="K512" s="11">
        <v>13047800</v>
      </c>
      <c r="L512" s="11">
        <v>37524900</v>
      </c>
      <c r="M512" s="11">
        <v>16753100</v>
      </c>
      <c r="N512" s="11">
        <v>0</v>
      </c>
    </row>
    <row r="513" spans="1:14" x14ac:dyDescent="0.3">
      <c r="A513" s="10">
        <v>46020</v>
      </c>
      <c r="B513" t="s">
        <v>19</v>
      </c>
      <c r="C513" t="str">
        <f t="shared" si="22"/>
        <v>342856178513</v>
      </c>
      <c r="D513" t="str">
        <f t="shared" si="23"/>
        <v>Client513</v>
      </c>
      <c r="E513" t="str">
        <f t="shared" si="21"/>
        <v>BOB513</v>
      </c>
      <c r="F513" t="s">
        <v>21</v>
      </c>
      <c r="G513" s="11" t="s">
        <v>22</v>
      </c>
      <c r="H513" s="11">
        <v>0</v>
      </c>
      <c r="I513" s="11">
        <v>0</v>
      </c>
      <c r="J513" s="11">
        <v>0</v>
      </c>
      <c r="K513" s="11">
        <v>2000000</v>
      </c>
      <c r="L513" s="11">
        <v>8395500</v>
      </c>
      <c r="M513" s="11">
        <v>8000000</v>
      </c>
      <c r="N513" s="11">
        <v>0</v>
      </c>
    </row>
    <row r="514" spans="1:14" x14ac:dyDescent="0.3">
      <c r="A514" s="10">
        <v>46020</v>
      </c>
      <c r="B514" t="s">
        <v>19</v>
      </c>
      <c r="C514" t="str">
        <f t="shared" si="22"/>
        <v>342856178514</v>
      </c>
      <c r="D514" t="str">
        <f t="shared" si="23"/>
        <v>Client514</v>
      </c>
      <c r="E514" t="str">
        <f t="shared" si="21"/>
        <v>BOB514</v>
      </c>
      <c r="F514" t="s">
        <v>32</v>
      </c>
      <c r="G514" s="11" t="s">
        <v>22</v>
      </c>
      <c r="H514" s="11">
        <v>0</v>
      </c>
      <c r="I514" s="11">
        <v>0</v>
      </c>
      <c r="J514" s="11">
        <v>0</v>
      </c>
      <c r="K514" s="11">
        <v>0</v>
      </c>
      <c r="L514" s="11">
        <v>1432400</v>
      </c>
      <c r="M514" s="11">
        <v>1462800</v>
      </c>
      <c r="N514" s="11">
        <v>0</v>
      </c>
    </row>
    <row r="515" spans="1:14" x14ac:dyDescent="0.3">
      <c r="A515" s="10">
        <v>46020</v>
      </c>
      <c r="B515" t="s">
        <v>19</v>
      </c>
      <c r="C515" t="str">
        <f t="shared" si="22"/>
        <v>342856178515</v>
      </c>
      <c r="D515" t="str">
        <f t="shared" si="23"/>
        <v>Client515</v>
      </c>
      <c r="E515" t="str">
        <f t="shared" ref="E515:E578" si="24">"BOB"&amp;ROW()</f>
        <v>BOB515</v>
      </c>
      <c r="F515" t="s">
        <v>21</v>
      </c>
      <c r="G515" s="11" t="s">
        <v>22</v>
      </c>
      <c r="H515" s="11">
        <v>0</v>
      </c>
      <c r="I515" s="11">
        <v>0</v>
      </c>
      <c r="J515" s="11">
        <v>2000000</v>
      </c>
      <c r="K515" s="11">
        <v>8000000</v>
      </c>
      <c r="L515" s="11">
        <v>7000000</v>
      </c>
      <c r="M515" s="11">
        <v>0</v>
      </c>
      <c r="N515" s="11">
        <v>0</v>
      </c>
    </row>
    <row r="516" spans="1:14" x14ac:dyDescent="0.3">
      <c r="A516" s="10">
        <v>46020</v>
      </c>
      <c r="B516" t="s">
        <v>19</v>
      </c>
      <c r="C516" t="str">
        <f t="shared" ref="C516:C579" si="25" xml:space="preserve"> "342856178" &amp; ROW()</f>
        <v>342856178516</v>
      </c>
      <c r="D516" t="str">
        <f t="shared" ref="D516:D579" si="26">"Client"  &amp; ROW()</f>
        <v>Client516</v>
      </c>
      <c r="E516" t="str">
        <f t="shared" si="24"/>
        <v>BOB516</v>
      </c>
      <c r="F516" t="s">
        <v>21</v>
      </c>
      <c r="G516" s="11" t="s">
        <v>22</v>
      </c>
      <c r="H516" s="11">
        <v>0</v>
      </c>
      <c r="I516" s="11">
        <v>0</v>
      </c>
      <c r="J516" s="11">
        <v>33978000</v>
      </c>
      <c r="K516" s="11">
        <v>1200000</v>
      </c>
      <c r="L516" s="11">
        <v>33991600</v>
      </c>
      <c r="M516" s="11">
        <v>0</v>
      </c>
      <c r="N516" s="11">
        <v>0</v>
      </c>
    </row>
    <row r="517" spans="1:14" x14ac:dyDescent="0.3">
      <c r="A517" s="10">
        <v>46020</v>
      </c>
      <c r="B517" t="s">
        <v>19</v>
      </c>
      <c r="C517" t="str">
        <f t="shared" si="25"/>
        <v>342856178517</v>
      </c>
      <c r="D517" t="str">
        <f t="shared" si="26"/>
        <v>Client517</v>
      </c>
      <c r="E517" t="str">
        <f t="shared" si="24"/>
        <v>BOB517</v>
      </c>
      <c r="F517" t="s">
        <v>24</v>
      </c>
      <c r="G517" s="11" t="s">
        <v>22</v>
      </c>
      <c r="H517" s="11">
        <v>0</v>
      </c>
      <c r="I517" s="11">
        <v>0</v>
      </c>
      <c r="J517" s="11">
        <v>0</v>
      </c>
      <c r="K517" s="11">
        <v>0</v>
      </c>
      <c r="L517" s="11">
        <v>151600</v>
      </c>
      <c r="M517" s="11">
        <v>0</v>
      </c>
      <c r="N517" s="11">
        <v>0</v>
      </c>
    </row>
    <row r="518" spans="1:14" x14ac:dyDescent="0.3">
      <c r="A518" s="10">
        <v>46020</v>
      </c>
      <c r="B518" t="s">
        <v>19</v>
      </c>
      <c r="C518" t="str">
        <f t="shared" si="25"/>
        <v>342856178518</v>
      </c>
      <c r="D518" t="str">
        <f t="shared" si="26"/>
        <v>Client518</v>
      </c>
      <c r="E518" t="str">
        <f t="shared" si="24"/>
        <v>BOB518</v>
      </c>
      <c r="F518" t="s">
        <v>32</v>
      </c>
      <c r="G518" s="11" t="s">
        <v>22</v>
      </c>
      <c r="H518" s="11">
        <v>0</v>
      </c>
      <c r="I518" s="11">
        <v>0</v>
      </c>
      <c r="J518" s="11">
        <v>0</v>
      </c>
      <c r="K518" s="11">
        <v>250000</v>
      </c>
      <c r="L518" s="11">
        <v>861200</v>
      </c>
      <c r="M518" s="11">
        <v>1082700</v>
      </c>
      <c r="N518" s="11">
        <v>0</v>
      </c>
    </row>
    <row r="519" spans="1:14" x14ac:dyDescent="0.3">
      <c r="A519" s="10">
        <v>46020</v>
      </c>
      <c r="B519" t="s">
        <v>19</v>
      </c>
      <c r="C519" t="str">
        <f t="shared" si="25"/>
        <v>342856178519</v>
      </c>
      <c r="D519" t="str">
        <f t="shared" si="26"/>
        <v>Client519</v>
      </c>
      <c r="E519" t="str">
        <f t="shared" si="24"/>
        <v>BOB519</v>
      </c>
      <c r="F519" t="s">
        <v>32</v>
      </c>
      <c r="G519" s="11" t="s">
        <v>22</v>
      </c>
      <c r="H519" s="11">
        <v>0</v>
      </c>
      <c r="I519" s="11">
        <v>0</v>
      </c>
      <c r="J519" s="11">
        <v>0</v>
      </c>
      <c r="K519" s="11">
        <v>0</v>
      </c>
      <c r="L519" s="11">
        <v>466500</v>
      </c>
      <c r="M519" s="11">
        <v>713600</v>
      </c>
      <c r="N519" s="11">
        <v>0</v>
      </c>
    </row>
    <row r="520" spans="1:14" x14ac:dyDescent="0.3">
      <c r="A520" s="10">
        <v>46020</v>
      </c>
      <c r="B520" t="s">
        <v>19</v>
      </c>
      <c r="C520" t="str">
        <f t="shared" si="25"/>
        <v>342856178520</v>
      </c>
      <c r="D520" t="str">
        <f t="shared" si="26"/>
        <v>Client520</v>
      </c>
      <c r="E520" t="str">
        <f t="shared" si="24"/>
        <v>BOB520</v>
      </c>
      <c r="F520" t="s">
        <v>30</v>
      </c>
      <c r="G520" s="11" t="s">
        <v>22</v>
      </c>
      <c r="H520" s="11">
        <v>2000000</v>
      </c>
      <c r="I520" s="11">
        <v>1000000</v>
      </c>
      <c r="J520" s="11">
        <v>0</v>
      </c>
      <c r="K520" s="11">
        <v>0</v>
      </c>
      <c r="L520" s="11">
        <v>4941100</v>
      </c>
      <c r="M520" s="11">
        <v>3890000</v>
      </c>
      <c r="N520" s="11">
        <v>0</v>
      </c>
    </row>
    <row r="521" spans="1:14" x14ac:dyDescent="0.3">
      <c r="A521" s="10">
        <v>46020</v>
      </c>
      <c r="B521" t="s">
        <v>19</v>
      </c>
      <c r="C521" t="str">
        <f t="shared" si="25"/>
        <v>342856178521</v>
      </c>
      <c r="D521" t="str">
        <f t="shared" si="26"/>
        <v>Client521</v>
      </c>
      <c r="E521" t="str">
        <f t="shared" si="24"/>
        <v>BOB521</v>
      </c>
      <c r="F521" t="s">
        <v>21</v>
      </c>
      <c r="G521" s="11" t="s">
        <v>22</v>
      </c>
      <c r="H521" s="11">
        <v>0</v>
      </c>
      <c r="I521" s="11">
        <v>0</v>
      </c>
      <c r="J521" s="11">
        <v>0</v>
      </c>
      <c r="K521" s="11">
        <v>8500000</v>
      </c>
      <c r="L521" s="11">
        <v>25401300</v>
      </c>
      <c r="M521" s="11">
        <v>31825200</v>
      </c>
      <c r="N521" s="11">
        <v>0</v>
      </c>
    </row>
    <row r="522" spans="1:14" x14ac:dyDescent="0.3">
      <c r="A522" s="10">
        <v>46020</v>
      </c>
      <c r="B522" t="s">
        <v>19</v>
      </c>
      <c r="C522" t="str">
        <f t="shared" si="25"/>
        <v>342856178522</v>
      </c>
      <c r="D522" t="str">
        <f t="shared" si="26"/>
        <v>Client522</v>
      </c>
      <c r="E522" t="str">
        <f t="shared" si="24"/>
        <v>BOB522</v>
      </c>
      <c r="F522" t="s">
        <v>24</v>
      </c>
      <c r="G522" s="11" t="s">
        <v>22</v>
      </c>
      <c r="H522" s="11">
        <v>0</v>
      </c>
      <c r="I522" s="11">
        <v>0</v>
      </c>
      <c r="J522" s="11">
        <v>0</v>
      </c>
      <c r="K522" s="11">
        <v>3000000</v>
      </c>
      <c r="L522" s="11">
        <v>3420300</v>
      </c>
      <c r="M522" s="11">
        <v>7515800</v>
      </c>
      <c r="N522" s="11">
        <v>0</v>
      </c>
    </row>
    <row r="523" spans="1:14" x14ac:dyDescent="0.3">
      <c r="A523" s="10">
        <v>46020</v>
      </c>
      <c r="B523" t="s">
        <v>19</v>
      </c>
      <c r="C523" t="str">
        <f t="shared" si="25"/>
        <v>342856178523</v>
      </c>
      <c r="D523" t="str">
        <f t="shared" si="26"/>
        <v>Client523</v>
      </c>
      <c r="E523" t="str">
        <f t="shared" si="24"/>
        <v>BOB523</v>
      </c>
      <c r="F523" t="s">
        <v>32</v>
      </c>
      <c r="G523" s="11" t="s">
        <v>22</v>
      </c>
      <c r="H523" s="11">
        <v>0</v>
      </c>
      <c r="I523" s="11">
        <v>0</v>
      </c>
      <c r="J523" s="11">
        <v>0</v>
      </c>
      <c r="K523" s="11">
        <v>0</v>
      </c>
      <c r="L523" s="11">
        <v>45425800</v>
      </c>
      <c r="M523" s="11">
        <v>41730900</v>
      </c>
      <c r="N523" s="11">
        <v>0</v>
      </c>
    </row>
    <row r="524" spans="1:14" x14ac:dyDescent="0.3">
      <c r="A524" s="10">
        <v>46020</v>
      </c>
      <c r="B524" t="s">
        <v>19</v>
      </c>
      <c r="C524" t="str">
        <f t="shared" si="25"/>
        <v>342856178524</v>
      </c>
      <c r="D524" t="str">
        <f t="shared" si="26"/>
        <v>Client524</v>
      </c>
      <c r="E524" t="str">
        <f t="shared" si="24"/>
        <v>BOB524</v>
      </c>
      <c r="F524" t="s">
        <v>21</v>
      </c>
      <c r="G524" s="11" t="s">
        <v>22</v>
      </c>
      <c r="H524" s="11">
        <v>0</v>
      </c>
      <c r="I524" s="11">
        <v>0</v>
      </c>
      <c r="J524" s="11">
        <v>0</v>
      </c>
      <c r="K524" s="11">
        <v>2000000</v>
      </c>
      <c r="L524" s="11">
        <v>1755400</v>
      </c>
      <c r="M524" s="11">
        <v>3154000</v>
      </c>
      <c r="N524" s="11">
        <v>0</v>
      </c>
    </row>
    <row r="525" spans="1:14" x14ac:dyDescent="0.3">
      <c r="A525" s="10">
        <v>46020</v>
      </c>
      <c r="B525" t="s">
        <v>19</v>
      </c>
      <c r="C525" t="str">
        <f t="shared" si="25"/>
        <v>342856178525</v>
      </c>
      <c r="D525" t="str">
        <f t="shared" si="26"/>
        <v>Client525</v>
      </c>
      <c r="E525" t="str">
        <f t="shared" si="24"/>
        <v>BOB525</v>
      </c>
      <c r="G525" s="11"/>
      <c r="H525" s="11">
        <v>0</v>
      </c>
      <c r="I525" s="11">
        <v>0</v>
      </c>
      <c r="J525" s="11">
        <v>0</v>
      </c>
      <c r="K525" s="11">
        <v>0</v>
      </c>
      <c r="L525" s="11">
        <v>5551400</v>
      </c>
      <c r="M525" s="11">
        <v>6437800</v>
      </c>
      <c r="N525" s="11">
        <v>0</v>
      </c>
    </row>
    <row r="526" spans="1:14" x14ac:dyDescent="0.3">
      <c r="A526" s="10">
        <v>46020</v>
      </c>
      <c r="B526" t="s">
        <v>19</v>
      </c>
      <c r="C526" t="str">
        <f t="shared" si="25"/>
        <v>342856178526</v>
      </c>
      <c r="D526" t="str">
        <f t="shared" si="26"/>
        <v>Client526</v>
      </c>
      <c r="E526" t="str">
        <f t="shared" si="24"/>
        <v>BOB526</v>
      </c>
      <c r="F526" t="s">
        <v>30</v>
      </c>
      <c r="G526" s="11" t="s">
        <v>70</v>
      </c>
      <c r="H526" s="11">
        <v>0</v>
      </c>
      <c r="I526" s="11">
        <v>0</v>
      </c>
      <c r="J526" s="11">
        <v>0</v>
      </c>
      <c r="K526" s="11">
        <v>1353000</v>
      </c>
      <c r="L526" s="11">
        <v>1079000</v>
      </c>
      <c r="M526" s="11">
        <v>2769500</v>
      </c>
      <c r="N526" s="11">
        <v>0</v>
      </c>
    </row>
    <row r="527" spans="1:14" x14ac:dyDescent="0.3">
      <c r="A527" s="10">
        <v>46020</v>
      </c>
      <c r="B527" t="s">
        <v>19</v>
      </c>
      <c r="C527" t="str">
        <f t="shared" si="25"/>
        <v>342856178527</v>
      </c>
      <c r="D527" t="str">
        <f t="shared" si="26"/>
        <v>Client527</v>
      </c>
      <c r="E527" t="str">
        <f t="shared" si="24"/>
        <v>BOB527</v>
      </c>
      <c r="F527" t="s">
        <v>68</v>
      </c>
      <c r="G527" s="11" t="s">
        <v>69</v>
      </c>
      <c r="H527" s="11">
        <v>0</v>
      </c>
      <c r="I527" s="11">
        <v>0</v>
      </c>
      <c r="J527" s="11">
        <v>0</v>
      </c>
      <c r="K527" s="11">
        <v>0</v>
      </c>
      <c r="L527" s="11">
        <v>2945000</v>
      </c>
      <c r="M527" s="11">
        <v>7143200</v>
      </c>
      <c r="N527" s="11">
        <v>0</v>
      </c>
    </row>
    <row r="528" spans="1:14" x14ac:dyDescent="0.3">
      <c r="A528" s="10">
        <v>46020</v>
      </c>
      <c r="B528" t="s">
        <v>19</v>
      </c>
      <c r="C528" t="str">
        <f t="shared" si="25"/>
        <v>342856178528</v>
      </c>
      <c r="D528" t="str">
        <f t="shared" si="26"/>
        <v>Client528</v>
      </c>
      <c r="E528" t="str">
        <f t="shared" si="24"/>
        <v>BOB528</v>
      </c>
      <c r="F528" t="s">
        <v>21</v>
      </c>
      <c r="G528" s="11" t="s">
        <v>22</v>
      </c>
      <c r="H528" s="11">
        <v>0</v>
      </c>
      <c r="I528" s="11">
        <v>0</v>
      </c>
      <c r="J528" s="11">
        <v>0</v>
      </c>
      <c r="K528" s="11">
        <v>4576000</v>
      </c>
      <c r="L528" s="11">
        <v>12961500</v>
      </c>
      <c r="M528" s="11">
        <v>17802800</v>
      </c>
      <c r="N528" s="11">
        <v>0</v>
      </c>
    </row>
    <row r="529" spans="1:14" x14ac:dyDescent="0.3">
      <c r="A529" s="10">
        <v>46020</v>
      </c>
      <c r="B529" t="s">
        <v>19</v>
      </c>
      <c r="C529" t="str">
        <f t="shared" si="25"/>
        <v>342856178529</v>
      </c>
      <c r="D529" t="str">
        <f t="shared" si="26"/>
        <v>Client529</v>
      </c>
      <c r="E529" t="str">
        <f t="shared" si="24"/>
        <v>BOB529</v>
      </c>
      <c r="F529" t="s">
        <v>26</v>
      </c>
      <c r="G529" s="11" t="s">
        <v>27</v>
      </c>
      <c r="H529" s="11">
        <v>0</v>
      </c>
      <c r="I529" s="11">
        <v>0</v>
      </c>
      <c r="J529" s="11">
        <v>0</v>
      </c>
      <c r="K529" s="11">
        <v>2002000</v>
      </c>
      <c r="L529" s="11">
        <v>4929000</v>
      </c>
      <c r="M529" s="11">
        <v>7238900</v>
      </c>
      <c r="N529" s="11">
        <v>0</v>
      </c>
    </row>
    <row r="530" spans="1:14" x14ac:dyDescent="0.3">
      <c r="A530" s="10">
        <v>46020</v>
      </c>
      <c r="B530" t="s">
        <v>19</v>
      </c>
      <c r="C530" t="str">
        <f t="shared" si="25"/>
        <v>342856178530</v>
      </c>
      <c r="D530" t="str">
        <f t="shared" si="26"/>
        <v>Client530</v>
      </c>
      <c r="E530" t="str">
        <f t="shared" si="24"/>
        <v>BOB530</v>
      </c>
      <c r="F530" t="s">
        <v>24</v>
      </c>
      <c r="G530" s="11" t="s">
        <v>22</v>
      </c>
      <c r="H530" s="11">
        <v>0</v>
      </c>
      <c r="I530" s="11">
        <v>0</v>
      </c>
      <c r="J530" s="11">
        <v>0</v>
      </c>
      <c r="K530" s="11">
        <v>0</v>
      </c>
      <c r="L530" s="11">
        <v>0</v>
      </c>
      <c r="M530" s="11">
        <v>600</v>
      </c>
      <c r="N530" s="11">
        <v>0</v>
      </c>
    </row>
    <row r="531" spans="1:14" x14ac:dyDescent="0.3">
      <c r="A531" s="10">
        <v>46020</v>
      </c>
      <c r="B531" t="s">
        <v>19</v>
      </c>
      <c r="C531" t="str">
        <f t="shared" si="25"/>
        <v>342856178531</v>
      </c>
      <c r="D531" t="str">
        <f t="shared" si="26"/>
        <v>Client531</v>
      </c>
      <c r="E531" t="str">
        <f t="shared" si="24"/>
        <v>BOB531</v>
      </c>
      <c r="G531" s="11"/>
      <c r="H531" s="11">
        <v>0</v>
      </c>
      <c r="I531" s="11">
        <v>0</v>
      </c>
      <c r="J531" s="11">
        <v>0</v>
      </c>
      <c r="K531" s="11">
        <v>0</v>
      </c>
      <c r="L531" s="11">
        <v>0</v>
      </c>
      <c r="M531" s="11">
        <v>0</v>
      </c>
      <c r="N531" s="11">
        <v>0</v>
      </c>
    </row>
    <row r="532" spans="1:14" x14ac:dyDescent="0.3">
      <c r="A532" s="10">
        <v>46020</v>
      </c>
      <c r="B532" t="s">
        <v>19</v>
      </c>
      <c r="C532" t="str">
        <f t="shared" si="25"/>
        <v>342856178532</v>
      </c>
      <c r="D532" t="str">
        <f t="shared" si="26"/>
        <v>Client532</v>
      </c>
      <c r="E532" t="str">
        <f t="shared" si="24"/>
        <v>BOB532</v>
      </c>
      <c r="F532" t="s">
        <v>24</v>
      </c>
      <c r="G532" s="11" t="s">
        <v>22</v>
      </c>
      <c r="H532" s="11">
        <v>0</v>
      </c>
      <c r="I532" s="11">
        <v>0</v>
      </c>
      <c r="J532" s="11">
        <v>15110000</v>
      </c>
      <c r="K532" s="11">
        <v>32765800</v>
      </c>
      <c r="L532" s="11">
        <v>52682500</v>
      </c>
      <c r="M532" s="11">
        <v>67233500</v>
      </c>
      <c r="N532" s="11">
        <v>0</v>
      </c>
    </row>
    <row r="533" spans="1:14" x14ac:dyDescent="0.3">
      <c r="A533" s="10">
        <v>46020</v>
      </c>
      <c r="B533" t="s">
        <v>19</v>
      </c>
      <c r="C533" t="str">
        <f t="shared" si="25"/>
        <v>342856178533</v>
      </c>
      <c r="D533" t="str">
        <f t="shared" si="26"/>
        <v>Client533</v>
      </c>
      <c r="E533" t="str">
        <f t="shared" si="24"/>
        <v>BOB533</v>
      </c>
      <c r="F533" t="s">
        <v>21</v>
      </c>
      <c r="G533" s="11" t="s">
        <v>22</v>
      </c>
      <c r="H533" s="11">
        <v>0</v>
      </c>
      <c r="I533" s="11">
        <v>0</v>
      </c>
      <c r="J533" s="11">
        <v>0</v>
      </c>
      <c r="K533" s="11">
        <v>0</v>
      </c>
      <c r="L533" s="11">
        <v>31776100</v>
      </c>
      <c r="M533" s="11">
        <v>31639500</v>
      </c>
      <c r="N533" s="11">
        <v>0</v>
      </c>
    </row>
    <row r="534" spans="1:14" x14ac:dyDescent="0.3">
      <c r="A534" s="10">
        <v>46020</v>
      </c>
      <c r="B534" t="s">
        <v>19</v>
      </c>
      <c r="C534" t="str">
        <f t="shared" si="25"/>
        <v>342856178534</v>
      </c>
      <c r="D534" t="str">
        <f t="shared" si="26"/>
        <v>Client534</v>
      </c>
      <c r="E534" t="str">
        <f t="shared" si="24"/>
        <v>BOB534</v>
      </c>
      <c r="F534" t="s">
        <v>26</v>
      </c>
      <c r="G534" s="11" t="s">
        <v>27</v>
      </c>
      <c r="H534" s="11">
        <v>0</v>
      </c>
      <c r="I534" s="11">
        <v>0</v>
      </c>
      <c r="J534" s="11">
        <v>0</v>
      </c>
      <c r="K534" s="11">
        <v>0</v>
      </c>
      <c r="L534" s="11">
        <v>0</v>
      </c>
      <c r="M534" s="11">
        <v>0</v>
      </c>
      <c r="N534" s="11">
        <v>0</v>
      </c>
    </row>
    <row r="535" spans="1:14" x14ac:dyDescent="0.3">
      <c r="A535" s="10">
        <v>46020</v>
      </c>
      <c r="B535" t="s">
        <v>19</v>
      </c>
      <c r="C535" t="str">
        <f t="shared" si="25"/>
        <v>342856178535</v>
      </c>
      <c r="D535" t="str">
        <f t="shared" si="26"/>
        <v>Client535</v>
      </c>
      <c r="E535" t="str">
        <f t="shared" si="24"/>
        <v>BOB535</v>
      </c>
      <c r="F535" t="s">
        <v>24</v>
      </c>
      <c r="G535" s="11" t="s">
        <v>22</v>
      </c>
      <c r="H535" s="11">
        <v>0</v>
      </c>
      <c r="I535" s="11">
        <v>0</v>
      </c>
      <c r="J535" s="11">
        <v>0</v>
      </c>
      <c r="K535" s="11">
        <v>3004500</v>
      </c>
      <c r="L535" s="11">
        <v>8075800</v>
      </c>
      <c r="M535" s="11">
        <v>12698500</v>
      </c>
      <c r="N535" s="11">
        <v>0</v>
      </c>
    </row>
    <row r="536" spans="1:14" x14ac:dyDescent="0.3">
      <c r="A536" s="10">
        <v>46020</v>
      </c>
      <c r="B536" t="s">
        <v>19</v>
      </c>
      <c r="C536" t="str">
        <f t="shared" si="25"/>
        <v>342856178536</v>
      </c>
      <c r="D536" t="str">
        <f t="shared" si="26"/>
        <v>Client536</v>
      </c>
      <c r="E536" t="str">
        <f t="shared" si="24"/>
        <v>BOB536</v>
      </c>
      <c r="F536" t="s">
        <v>32</v>
      </c>
      <c r="G536" s="11" t="s">
        <v>22</v>
      </c>
      <c r="H536" s="11">
        <v>0</v>
      </c>
      <c r="I536" s="11">
        <v>0</v>
      </c>
      <c r="J536" s="11">
        <v>0</v>
      </c>
      <c r="K536" s="11">
        <v>0</v>
      </c>
      <c r="L536" s="11">
        <v>11315600</v>
      </c>
      <c r="M536" s="11">
        <v>11697200</v>
      </c>
      <c r="N536" s="11">
        <v>0</v>
      </c>
    </row>
    <row r="537" spans="1:14" x14ac:dyDescent="0.3">
      <c r="A537" s="10">
        <v>46020</v>
      </c>
      <c r="B537" t="s">
        <v>19</v>
      </c>
      <c r="C537" t="str">
        <f t="shared" si="25"/>
        <v>342856178537</v>
      </c>
      <c r="D537" t="str">
        <f t="shared" si="26"/>
        <v>Client537</v>
      </c>
      <c r="E537" t="str">
        <f t="shared" si="24"/>
        <v>BOB537</v>
      </c>
      <c r="G537" s="11"/>
      <c r="H537" s="11">
        <v>0</v>
      </c>
      <c r="I537" s="11">
        <v>0</v>
      </c>
      <c r="J537" s="11">
        <v>0</v>
      </c>
      <c r="K537" s="11">
        <v>0</v>
      </c>
      <c r="L537" s="11">
        <v>0</v>
      </c>
      <c r="M537" s="11">
        <v>0</v>
      </c>
      <c r="N537" s="11">
        <v>0</v>
      </c>
    </row>
    <row r="538" spans="1:14" x14ac:dyDescent="0.3">
      <c r="A538" s="10">
        <v>46020</v>
      </c>
      <c r="B538" t="s">
        <v>19</v>
      </c>
      <c r="C538" t="str">
        <f t="shared" si="25"/>
        <v>342856178538</v>
      </c>
      <c r="D538" t="str">
        <f t="shared" si="26"/>
        <v>Client538</v>
      </c>
      <c r="E538" t="str">
        <f t="shared" si="24"/>
        <v>BOB538</v>
      </c>
      <c r="G538" s="11"/>
      <c r="H538" s="11">
        <v>0</v>
      </c>
      <c r="I538" s="11">
        <v>0</v>
      </c>
      <c r="J538" s="11">
        <v>0</v>
      </c>
      <c r="K538" s="11">
        <v>1105500</v>
      </c>
      <c r="L538" s="11">
        <v>184000</v>
      </c>
      <c r="M538" s="11">
        <v>1123000</v>
      </c>
      <c r="N538" s="11">
        <v>0</v>
      </c>
    </row>
    <row r="539" spans="1:14" x14ac:dyDescent="0.3">
      <c r="A539" s="10">
        <v>46020</v>
      </c>
      <c r="B539" t="s">
        <v>19</v>
      </c>
      <c r="C539" t="str">
        <f t="shared" si="25"/>
        <v>342856178539</v>
      </c>
      <c r="D539" t="str">
        <f t="shared" si="26"/>
        <v>Client539</v>
      </c>
      <c r="E539" t="str">
        <f t="shared" si="24"/>
        <v>BOB539</v>
      </c>
      <c r="F539" t="s">
        <v>24</v>
      </c>
      <c r="G539" s="11" t="s">
        <v>22</v>
      </c>
      <c r="H539" s="11">
        <v>0</v>
      </c>
      <c r="I539" s="11">
        <v>0</v>
      </c>
      <c r="J539" s="11">
        <v>0</v>
      </c>
      <c r="K539" s="11">
        <v>0</v>
      </c>
      <c r="L539" s="11">
        <v>8760000</v>
      </c>
      <c r="M539" s="11">
        <v>10416800</v>
      </c>
      <c r="N539" s="11">
        <v>0</v>
      </c>
    </row>
    <row r="540" spans="1:14" x14ac:dyDescent="0.3">
      <c r="A540" s="10">
        <v>46020</v>
      </c>
      <c r="B540" t="s">
        <v>19</v>
      </c>
      <c r="C540" t="str">
        <f t="shared" si="25"/>
        <v>342856178540</v>
      </c>
      <c r="D540" t="str">
        <f t="shared" si="26"/>
        <v>Client540</v>
      </c>
      <c r="E540" t="str">
        <f t="shared" si="24"/>
        <v>BOB540</v>
      </c>
      <c r="F540" t="s">
        <v>21</v>
      </c>
      <c r="G540" s="11" t="s">
        <v>22</v>
      </c>
      <c r="H540" s="11">
        <v>0</v>
      </c>
      <c r="I540" s="11">
        <v>0</v>
      </c>
      <c r="J540" s="11">
        <v>0</v>
      </c>
      <c r="K540" s="11">
        <v>0</v>
      </c>
      <c r="L540" s="11">
        <v>4736000</v>
      </c>
      <c r="M540" s="11">
        <v>3586800</v>
      </c>
      <c r="N540" s="11">
        <v>0</v>
      </c>
    </row>
    <row r="541" spans="1:14" x14ac:dyDescent="0.3">
      <c r="A541" s="10">
        <v>46020</v>
      </c>
      <c r="B541" t="s">
        <v>19</v>
      </c>
      <c r="C541" t="str">
        <f t="shared" si="25"/>
        <v>342856178541</v>
      </c>
      <c r="D541" t="str">
        <f t="shared" si="26"/>
        <v>Client541</v>
      </c>
      <c r="E541" t="str">
        <f t="shared" si="24"/>
        <v>BOB541</v>
      </c>
      <c r="F541" t="s">
        <v>21</v>
      </c>
      <c r="G541" s="11" t="s">
        <v>22</v>
      </c>
      <c r="H541" s="11">
        <v>0</v>
      </c>
      <c r="I541" s="11">
        <v>0</v>
      </c>
      <c r="J541" s="11">
        <v>0</v>
      </c>
      <c r="K541" s="11">
        <v>400000</v>
      </c>
      <c r="L541" s="11">
        <v>174900</v>
      </c>
      <c r="M541" s="11">
        <v>708000</v>
      </c>
      <c r="N541" s="11">
        <v>0</v>
      </c>
    </row>
    <row r="542" spans="1:14" x14ac:dyDescent="0.3">
      <c r="A542" s="10">
        <v>46020</v>
      </c>
      <c r="B542" t="s">
        <v>19</v>
      </c>
      <c r="C542" t="str">
        <f t="shared" si="25"/>
        <v>342856178542</v>
      </c>
      <c r="D542" t="str">
        <f t="shared" si="26"/>
        <v>Client542</v>
      </c>
      <c r="E542" t="str">
        <f t="shared" si="24"/>
        <v>BOB542</v>
      </c>
      <c r="F542" t="s">
        <v>68</v>
      </c>
      <c r="G542" s="11" t="s">
        <v>69</v>
      </c>
      <c r="H542" s="11">
        <v>0</v>
      </c>
      <c r="I542" s="11">
        <v>0</v>
      </c>
      <c r="J542" s="11">
        <v>0</v>
      </c>
      <c r="K542" s="11">
        <v>3206000</v>
      </c>
      <c r="L542" s="11">
        <v>3661100</v>
      </c>
      <c r="M542" s="11">
        <v>10785300</v>
      </c>
      <c r="N542" s="11">
        <v>0</v>
      </c>
    </row>
    <row r="543" spans="1:14" x14ac:dyDescent="0.3">
      <c r="A543" s="10">
        <v>46020</v>
      </c>
      <c r="B543" t="s">
        <v>19</v>
      </c>
      <c r="C543" t="str">
        <f t="shared" si="25"/>
        <v>342856178543</v>
      </c>
      <c r="D543" t="str">
        <f t="shared" si="26"/>
        <v>Client543</v>
      </c>
      <c r="E543" t="str">
        <f t="shared" si="24"/>
        <v>BOB543</v>
      </c>
      <c r="F543" t="s">
        <v>26</v>
      </c>
      <c r="G543" s="11" t="s">
        <v>27</v>
      </c>
      <c r="H543" s="11">
        <v>0</v>
      </c>
      <c r="I543" s="11">
        <v>0</v>
      </c>
      <c r="J543" s="11">
        <v>699300</v>
      </c>
      <c r="K543" s="11">
        <v>3503500</v>
      </c>
      <c r="L543" s="11">
        <v>10928200</v>
      </c>
      <c r="M543" s="11">
        <v>18142000</v>
      </c>
      <c r="N543" s="11">
        <v>0</v>
      </c>
    </row>
    <row r="544" spans="1:14" x14ac:dyDescent="0.3">
      <c r="A544" s="10">
        <v>46020</v>
      </c>
      <c r="B544" t="s">
        <v>19</v>
      </c>
      <c r="C544" t="str">
        <f t="shared" si="25"/>
        <v>342856178544</v>
      </c>
      <c r="D544" t="str">
        <f t="shared" si="26"/>
        <v>Client544</v>
      </c>
      <c r="E544" t="str">
        <f t="shared" si="24"/>
        <v>BOB544</v>
      </c>
      <c r="F544" t="s">
        <v>32</v>
      </c>
      <c r="G544" s="11" t="s">
        <v>22</v>
      </c>
      <c r="H544" s="11">
        <v>0</v>
      </c>
      <c r="I544" s="11">
        <v>0</v>
      </c>
      <c r="J544" s="11">
        <v>0</v>
      </c>
      <c r="K544" s="11">
        <v>0</v>
      </c>
      <c r="L544" s="11">
        <v>9786300</v>
      </c>
      <c r="M544" s="11">
        <v>9628500</v>
      </c>
      <c r="N544" s="11">
        <v>0</v>
      </c>
    </row>
    <row r="545" spans="1:14" x14ac:dyDescent="0.3">
      <c r="A545" s="10">
        <v>46020</v>
      </c>
      <c r="B545" t="s">
        <v>19</v>
      </c>
      <c r="C545" t="str">
        <f t="shared" si="25"/>
        <v>342856178545</v>
      </c>
      <c r="D545" t="str">
        <f t="shared" si="26"/>
        <v>Client545</v>
      </c>
      <c r="E545" t="str">
        <f t="shared" si="24"/>
        <v>BOB545</v>
      </c>
      <c r="F545" t="s">
        <v>21</v>
      </c>
      <c r="G545" s="11" t="s">
        <v>22</v>
      </c>
      <c r="H545" s="11">
        <v>0</v>
      </c>
      <c r="I545" s="11">
        <v>0</v>
      </c>
      <c r="J545" s="11">
        <v>0</v>
      </c>
      <c r="K545" s="11">
        <v>0</v>
      </c>
      <c r="L545" s="11">
        <v>16061800</v>
      </c>
      <c r="M545" s="11">
        <v>15525500</v>
      </c>
      <c r="N545" s="11">
        <v>0</v>
      </c>
    </row>
    <row r="546" spans="1:14" x14ac:dyDescent="0.3">
      <c r="A546" s="10">
        <v>46020</v>
      </c>
      <c r="B546" t="s">
        <v>19</v>
      </c>
      <c r="C546" t="str">
        <f t="shared" si="25"/>
        <v>342856178546</v>
      </c>
      <c r="D546" t="str">
        <f t="shared" si="26"/>
        <v>Client546</v>
      </c>
      <c r="E546" t="str">
        <f t="shared" si="24"/>
        <v>BOB546</v>
      </c>
      <c r="F546" t="s">
        <v>21</v>
      </c>
      <c r="G546" s="11" t="s">
        <v>22</v>
      </c>
      <c r="H546" s="11">
        <v>0</v>
      </c>
      <c r="I546" s="11">
        <v>0</v>
      </c>
      <c r="J546" s="11">
        <v>0</v>
      </c>
      <c r="K546" s="11">
        <v>0</v>
      </c>
      <c r="L546" s="11">
        <v>6225800</v>
      </c>
      <c r="M546" s="11">
        <v>8738800</v>
      </c>
      <c r="N546" s="11">
        <v>0</v>
      </c>
    </row>
    <row r="547" spans="1:14" x14ac:dyDescent="0.3">
      <c r="A547" s="10">
        <v>46020</v>
      </c>
      <c r="B547" t="s">
        <v>19</v>
      </c>
      <c r="C547" t="str">
        <f t="shared" si="25"/>
        <v>342856178547</v>
      </c>
      <c r="D547" t="str">
        <f t="shared" si="26"/>
        <v>Client547</v>
      </c>
      <c r="E547" t="str">
        <f t="shared" si="24"/>
        <v>BOB547</v>
      </c>
      <c r="F547" t="s">
        <v>32</v>
      </c>
      <c r="G547" s="11" t="s">
        <v>22</v>
      </c>
      <c r="H547" s="11">
        <v>0</v>
      </c>
      <c r="I547" s="11">
        <v>0</v>
      </c>
      <c r="J547" s="11">
        <v>1751000</v>
      </c>
      <c r="K547" s="11">
        <v>3835000</v>
      </c>
      <c r="L547" s="11">
        <v>16422600</v>
      </c>
      <c r="M547" s="11">
        <v>18291200</v>
      </c>
      <c r="N547" s="11">
        <v>0</v>
      </c>
    </row>
    <row r="548" spans="1:14" x14ac:dyDescent="0.3">
      <c r="A548" s="10">
        <v>46020</v>
      </c>
      <c r="B548" t="s">
        <v>19</v>
      </c>
      <c r="C548" t="str">
        <f t="shared" si="25"/>
        <v>342856178548</v>
      </c>
      <c r="D548" t="str">
        <f t="shared" si="26"/>
        <v>Client548</v>
      </c>
      <c r="E548" t="str">
        <f t="shared" si="24"/>
        <v>BOB548</v>
      </c>
      <c r="F548" t="s">
        <v>24</v>
      </c>
      <c r="G548" s="11" t="s">
        <v>22</v>
      </c>
      <c r="H548" s="11">
        <v>0</v>
      </c>
      <c r="I548" s="11">
        <v>0</v>
      </c>
      <c r="J548" s="11">
        <v>0</v>
      </c>
      <c r="K548" s="11">
        <v>0</v>
      </c>
      <c r="L548" s="11">
        <v>5069000</v>
      </c>
      <c r="M548" s="11">
        <v>3528500</v>
      </c>
      <c r="N548" s="11">
        <v>0</v>
      </c>
    </row>
    <row r="549" spans="1:14" x14ac:dyDescent="0.3">
      <c r="A549" s="10">
        <v>46020</v>
      </c>
      <c r="B549" t="s">
        <v>19</v>
      </c>
      <c r="C549" t="str">
        <f t="shared" si="25"/>
        <v>342856178549</v>
      </c>
      <c r="D549" t="str">
        <f t="shared" si="26"/>
        <v>Client549</v>
      </c>
      <c r="E549" t="str">
        <f t="shared" si="24"/>
        <v>BOB549</v>
      </c>
      <c r="G549" s="11"/>
      <c r="H549" s="11">
        <v>0</v>
      </c>
      <c r="I549" s="11">
        <v>0</v>
      </c>
      <c r="J549" s="11">
        <v>0</v>
      </c>
      <c r="K549" s="11">
        <v>0</v>
      </c>
      <c r="L549" s="11">
        <v>28000</v>
      </c>
      <c r="M549" s="11">
        <v>8000</v>
      </c>
      <c r="N549" s="11">
        <v>0</v>
      </c>
    </row>
    <row r="550" spans="1:14" x14ac:dyDescent="0.3">
      <c r="A550" s="10">
        <v>46020</v>
      </c>
      <c r="B550" t="s">
        <v>19</v>
      </c>
      <c r="C550" t="str">
        <f t="shared" si="25"/>
        <v>342856178550</v>
      </c>
      <c r="D550" t="str">
        <f t="shared" si="26"/>
        <v>Client550</v>
      </c>
      <c r="E550" t="str">
        <f t="shared" si="24"/>
        <v>BOB550</v>
      </c>
      <c r="F550" t="s">
        <v>21</v>
      </c>
      <c r="G550" s="11" t="s">
        <v>22</v>
      </c>
      <c r="H550" s="11">
        <v>0</v>
      </c>
      <c r="I550" s="11">
        <v>0</v>
      </c>
      <c r="J550" s="11">
        <v>0</v>
      </c>
      <c r="K550" s="11">
        <v>0</v>
      </c>
      <c r="L550" s="11">
        <v>9682300</v>
      </c>
      <c r="M550" s="11">
        <v>9577400</v>
      </c>
      <c r="N550" s="11">
        <v>0</v>
      </c>
    </row>
    <row r="551" spans="1:14" x14ac:dyDescent="0.3">
      <c r="A551" s="10">
        <v>46020</v>
      </c>
      <c r="B551" t="s">
        <v>19</v>
      </c>
      <c r="C551" t="str">
        <f t="shared" si="25"/>
        <v>342856178551</v>
      </c>
      <c r="D551" t="str">
        <f t="shared" si="26"/>
        <v>Client551</v>
      </c>
      <c r="E551" t="str">
        <f t="shared" si="24"/>
        <v>BOB551</v>
      </c>
      <c r="F551" t="s">
        <v>24</v>
      </c>
      <c r="G551" s="11" t="s">
        <v>22</v>
      </c>
      <c r="H551" s="11">
        <v>0</v>
      </c>
      <c r="I551" s="11">
        <v>0</v>
      </c>
      <c r="J551" s="11">
        <v>100559600</v>
      </c>
      <c r="K551" s="11">
        <v>144142100</v>
      </c>
      <c r="L551" s="11">
        <v>4000000</v>
      </c>
      <c r="M551" s="11">
        <v>0</v>
      </c>
      <c r="N551" s="11">
        <v>0</v>
      </c>
    </row>
    <row r="552" spans="1:14" x14ac:dyDescent="0.3">
      <c r="A552" s="10">
        <v>46020</v>
      </c>
      <c r="B552" t="s">
        <v>19</v>
      </c>
      <c r="C552" t="str">
        <f t="shared" si="25"/>
        <v>342856178552</v>
      </c>
      <c r="D552" t="str">
        <f t="shared" si="26"/>
        <v>Client552</v>
      </c>
      <c r="E552" t="str">
        <f t="shared" si="24"/>
        <v>BOB552</v>
      </c>
      <c r="F552" t="s">
        <v>32</v>
      </c>
      <c r="G552" s="11" t="s">
        <v>22</v>
      </c>
      <c r="H552" s="11">
        <v>0</v>
      </c>
      <c r="I552" s="11">
        <v>0</v>
      </c>
      <c r="J552" s="11">
        <v>500000</v>
      </c>
      <c r="K552" s="11">
        <v>500000</v>
      </c>
      <c r="L552" s="11">
        <v>10000</v>
      </c>
      <c r="M552" s="11">
        <v>0</v>
      </c>
      <c r="N552" s="11">
        <v>0</v>
      </c>
    </row>
    <row r="553" spans="1:14" x14ac:dyDescent="0.3">
      <c r="A553" s="10">
        <v>46020</v>
      </c>
      <c r="B553" t="s">
        <v>19</v>
      </c>
      <c r="C553" t="str">
        <f t="shared" si="25"/>
        <v>342856178553</v>
      </c>
      <c r="D553" t="str">
        <f t="shared" si="26"/>
        <v>Client553</v>
      </c>
      <c r="E553" t="str">
        <f t="shared" si="24"/>
        <v>BOB553</v>
      </c>
      <c r="F553" t="s">
        <v>21</v>
      </c>
      <c r="G553" s="11" t="s">
        <v>22</v>
      </c>
      <c r="H553" s="11">
        <v>0</v>
      </c>
      <c r="I553" s="11">
        <v>0</v>
      </c>
      <c r="J553" s="11">
        <v>0</v>
      </c>
      <c r="K553" s="11">
        <v>0</v>
      </c>
      <c r="L553" s="11">
        <v>14903100</v>
      </c>
      <c r="M553" s="11">
        <v>15152900</v>
      </c>
      <c r="N553" s="11">
        <v>0</v>
      </c>
    </row>
    <row r="554" spans="1:14" x14ac:dyDescent="0.3">
      <c r="A554" s="10">
        <v>46020</v>
      </c>
      <c r="B554" t="s">
        <v>19</v>
      </c>
      <c r="C554" t="str">
        <f t="shared" si="25"/>
        <v>342856178554</v>
      </c>
      <c r="D554" t="str">
        <f t="shared" si="26"/>
        <v>Client554</v>
      </c>
      <c r="E554" t="str">
        <f t="shared" si="24"/>
        <v>BOB554</v>
      </c>
      <c r="G554" s="11"/>
      <c r="H554" s="11">
        <v>0</v>
      </c>
      <c r="I554" s="11">
        <v>0</v>
      </c>
      <c r="J554" s="11">
        <v>0</v>
      </c>
      <c r="K554" s="11">
        <v>5920000</v>
      </c>
      <c r="L554" s="11">
        <v>2066800</v>
      </c>
      <c r="M554" s="11">
        <v>7641200</v>
      </c>
      <c r="N554" s="11">
        <v>0</v>
      </c>
    </row>
    <row r="555" spans="1:14" x14ac:dyDescent="0.3">
      <c r="A555" s="10">
        <v>46020</v>
      </c>
      <c r="B555" t="s">
        <v>19</v>
      </c>
      <c r="C555" t="str">
        <f t="shared" si="25"/>
        <v>342856178555</v>
      </c>
      <c r="D555" t="str">
        <f t="shared" si="26"/>
        <v>Client555</v>
      </c>
      <c r="E555" t="str">
        <f t="shared" si="24"/>
        <v>BOB555</v>
      </c>
      <c r="F555" t="s">
        <v>21</v>
      </c>
      <c r="G555" s="11" t="s">
        <v>22</v>
      </c>
      <c r="H555" s="11">
        <v>0</v>
      </c>
      <c r="I555" s="11">
        <v>0</v>
      </c>
      <c r="J555" s="11">
        <v>0</v>
      </c>
      <c r="K555" s="11">
        <v>10500000</v>
      </c>
      <c r="L555" s="11">
        <v>15795700</v>
      </c>
      <c r="M555" s="11">
        <v>13963500</v>
      </c>
      <c r="N555" s="11">
        <v>6500000</v>
      </c>
    </row>
    <row r="556" spans="1:14" x14ac:dyDescent="0.3">
      <c r="A556" s="10">
        <v>46020</v>
      </c>
      <c r="B556" t="s">
        <v>19</v>
      </c>
      <c r="C556" t="str">
        <f t="shared" si="25"/>
        <v>342856178556</v>
      </c>
      <c r="D556" t="str">
        <f t="shared" si="26"/>
        <v>Client556</v>
      </c>
      <c r="E556" t="str">
        <f t="shared" si="24"/>
        <v>BOB556</v>
      </c>
      <c r="F556" t="s">
        <v>32</v>
      </c>
      <c r="G556" s="11" t="s">
        <v>22</v>
      </c>
      <c r="H556" s="11">
        <v>0</v>
      </c>
      <c r="I556" s="11">
        <v>0</v>
      </c>
      <c r="J556" s="11">
        <v>0</v>
      </c>
      <c r="K556" s="11">
        <v>500000</v>
      </c>
      <c r="L556" s="11">
        <v>4321500</v>
      </c>
      <c r="M556" s="11">
        <v>3003500</v>
      </c>
      <c r="N556" s="11">
        <v>0</v>
      </c>
    </row>
    <row r="557" spans="1:14" x14ac:dyDescent="0.3">
      <c r="A557" s="10">
        <v>46020</v>
      </c>
      <c r="B557" t="s">
        <v>19</v>
      </c>
      <c r="C557" t="str">
        <f t="shared" si="25"/>
        <v>342856178557</v>
      </c>
      <c r="D557" t="str">
        <f t="shared" si="26"/>
        <v>Client557</v>
      </c>
      <c r="E557" t="str">
        <f t="shared" si="24"/>
        <v>BOB557</v>
      </c>
      <c r="F557" t="s">
        <v>26</v>
      </c>
      <c r="G557" s="11" t="s">
        <v>27</v>
      </c>
      <c r="H557" s="11">
        <v>0</v>
      </c>
      <c r="I557" s="11">
        <v>0</v>
      </c>
      <c r="J557" s="11">
        <v>0</v>
      </c>
      <c r="K557" s="11">
        <v>0</v>
      </c>
      <c r="L557" s="11">
        <v>3989300</v>
      </c>
      <c r="M557" s="11">
        <v>3737500</v>
      </c>
      <c r="N557" s="11">
        <v>0</v>
      </c>
    </row>
    <row r="558" spans="1:14" x14ac:dyDescent="0.3">
      <c r="A558" s="10">
        <v>46020</v>
      </c>
      <c r="B558" t="s">
        <v>19</v>
      </c>
      <c r="C558" t="str">
        <f t="shared" si="25"/>
        <v>342856178558</v>
      </c>
      <c r="D558" t="str">
        <f t="shared" si="26"/>
        <v>Client558</v>
      </c>
      <c r="E558" t="str">
        <f t="shared" si="24"/>
        <v>BOB558</v>
      </c>
      <c r="F558" t="s">
        <v>32</v>
      </c>
      <c r="G558" s="11" t="s">
        <v>22</v>
      </c>
      <c r="H558" s="11">
        <v>0</v>
      </c>
      <c r="I558" s="11">
        <v>0</v>
      </c>
      <c r="J558" s="11">
        <v>0</v>
      </c>
      <c r="K558" s="11">
        <v>0</v>
      </c>
      <c r="L558" s="11">
        <v>9073800</v>
      </c>
      <c r="M558" s="11">
        <v>9027900</v>
      </c>
      <c r="N558" s="11">
        <v>0</v>
      </c>
    </row>
    <row r="559" spans="1:14" x14ac:dyDescent="0.3">
      <c r="A559" s="10">
        <v>46020</v>
      </c>
      <c r="B559" t="s">
        <v>19</v>
      </c>
      <c r="C559" t="str">
        <f t="shared" si="25"/>
        <v>342856178559</v>
      </c>
      <c r="D559" t="str">
        <f t="shared" si="26"/>
        <v>Client559</v>
      </c>
      <c r="E559" t="str">
        <f t="shared" si="24"/>
        <v>BOB559</v>
      </c>
      <c r="G559" s="11"/>
      <c r="H559" s="11">
        <v>0</v>
      </c>
      <c r="I559" s="11">
        <v>0</v>
      </c>
      <c r="J559" s="11">
        <v>0</v>
      </c>
      <c r="K559" s="11">
        <v>0</v>
      </c>
      <c r="L559" s="11">
        <v>0</v>
      </c>
      <c r="M559" s="11">
        <v>0</v>
      </c>
      <c r="N559" s="11">
        <v>0</v>
      </c>
    </row>
    <row r="560" spans="1:14" x14ac:dyDescent="0.3">
      <c r="A560" s="10">
        <v>46020</v>
      </c>
      <c r="B560" t="s">
        <v>19</v>
      </c>
      <c r="C560" t="str">
        <f t="shared" si="25"/>
        <v>342856178560</v>
      </c>
      <c r="D560" t="str">
        <f t="shared" si="26"/>
        <v>Client560</v>
      </c>
      <c r="E560" t="str">
        <f t="shared" si="24"/>
        <v>BOB560</v>
      </c>
      <c r="F560" t="s">
        <v>26</v>
      </c>
      <c r="G560" s="11" t="s">
        <v>27</v>
      </c>
      <c r="H560" s="11">
        <v>0</v>
      </c>
      <c r="I560" s="11">
        <v>0</v>
      </c>
      <c r="J560" s="11">
        <v>0</v>
      </c>
      <c r="K560" s="11">
        <v>1401400</v>
      </c>
      <c r="L560" s="11">
        <v>4459400</v>
      </c>
      <c r="M560" s="11">
        <v>6864700</v>
      </c>
      <c r="N560" s="11">
        <v>0</v>
      </c>
    </row>
    <row r="561" spans="1:14" x14ac:dyDescent="0.3">
      <c r="A561" s="10">
        <v>46020</v>
      </c>
      <c r="B561" t="s">
        <v>19</v>
      </c>
      <c r="C561" t="str">
        <f t="shared" si="25"/>
        <v>342856178561</v>
      </c>
      <c r="D561" t="str">
        <f t="shared" si="26"/>
        <v>Client561</v>
      </c>
      <c r="E561" t="str">
        <f t="shared" si="24"/>
        <v>BOB561</v>
      </c>
      <c r="F561" t="s">
        <v>24</v>
      </c>
      <c r="G561" s="11" t="s">
        <v>22</v>
      </c>
      <c r="H561" s="11">
        <v>0</v>
      </c>
      <c r="I561" s="11">
        <v>0</v>
      </c>
      <c r="J561" s="11">
        <v>1000000</v>
      </c>
      <c r="K561" s="11">
        <v>7000000</v>
      </c>
      <c r="L561" s="11">
        <v>17310800</v>
      </c>
      <c r="M561" s="11">
        <v>22216000</v>
      </c>
      <c r="N561" s="11">
        <v>0</v>
      </c>
    </row>
    <row r="562" spans="1:14" x14ac:dyDescent="0.3">
      <c r="A562" s="10">
        <v>46020</v>
      </c>
      <c r="B562" t="s">
        <v>19</v>
      </c>
      <c r="C562" t="str">
        <f t="shared" si="25"/>
        <v>342856178562</v>
      </c>
      <c r="D562" t="str">
        <f t="shared" si="26"/>
        <v>Client562</v>
      </c>
      <c r="E562" t="str">
        <f t="shared" si="24"/>
        <v>BOB562</v>
      </c>
      <c r="F562" t="s">
        <v>21</v>
      </c>
      <c r="G562" s="11" t="s">
        <v>22</v>
      </c>
      <c r="H562" s="11">
        <v>0</v>
      </c>
      <c r="I562" s="11">
        <v>0</v>
      </c>
      <c r="J562" s="11">
        <v>0</v>
      </c>
      <c r="K562" s="11">
        <v>0</v>
      </c>
      <c r="L562" s="11">
        <v>1429000</v>
      </c>
      <c r="M562" s="11">
        <v>1715400</v>
      </c>
      <c r="N562" s="11">
        <v>0</v>
      </c>
    </row>
    <row r="563" spans="1:14" x14ac:dyDescent="0.3">
      <c r="A563" s="10">
        <v>46020</v>
      </c>
      <c r="B563" t="s">
        <v>19</v>
      </c>
      <c r="C563" t="str">
        <f t="shared" si="25"/>
        <v>342856178563</v>
      </c>
      <c r="D563" t="str">
        <f t="shared" si="26"/>
        <v>Client563</v>
      </c>
      <c r="E563" t="str">
        <f t="shared" si="24"/>
        <v>BOB563</v>
      </c>
      <c r="F563" t="s">
        <v>21</v>
      </c>
      <c r="G563" s="11" t="s">
        <v>22</v>
      </c>
      <c r="H563" s="11">
        <v>0</v>
      </c>
      <c r="I563" s="11">
        <v>0</v>
      </c>
      <c r="J563" s="11">
        <v>2700000</v>
      </c>
      <c r="K563" s="11">
        <v>1500000</v>
      </c>
      <c r="L563" s="11">
        <v>33097800</v>
      </c>
      <c r="M563" s="11">
        <v>31957200</v>
      </c>
      <c r="N563" s="11">
        <v>0</v>
      </c>
    </row>
    <row r="564" spans="1:14" x14ac:dyDescent="0.3">
      <c r="A564" s="10">
        <v>46020</v>
      </c>
      <c r="B564" t="s">
        <v>19</v>
      </c>
      <c r="C564" t="str">
        <f t="shared" si="25"/>
        <v>342856178564</v>
      </c>
      <c r="D564" t="str">
        <f t="shared" si="26"/>
        <v>Client564</v>
      </c>
      <c r="E564" t="str">
        <f t="shared" si="24"/>
        <v>BOB564</v>
      </c>
      <c r="G564" s="11"/>
      <c r="H564" s="11">
        <v>0</v>
      </c>
      <c r="I564" s="11">
        <v>0</v>
      </c>
      <c r="J564" s="11">
        <v>0</v>
      </c>
      <c r="K564" s="11">
        <v>0</v>
      </c>
      <c r="L564" s="11">
        <v>555000</v>
      </c>
      <c r="M564" s="11">
        <v>470000</v>
      </c>
      <c r="N564" s="11">
        <v>0</v>
      </c>
    </row>
    <row r="565" spans="1:14" x14ac:dyDescent="0.3">
      <c r="A565" s="10">
        <v>46020</v>
      </c>
      <c r="B565" t="s">
        <v>19</v>
      </c>
      <c r="C565" t="str">
        <f t="shared" si="25"/>
        <v>342856178565</v>
      </c>
      <c r="D565" t="str">
        <f t="shared" si="26"/>
        <v>Client565</v>
      </c>
      <c r="E565" t="str">
        <f t="shared" si="24"/>
        <v>BOB565</v>
      </c>
      <c r="F565" t="s">
        <v>21</v>
      </c>
      <c r="G565" s="11" t="s">
        <v>22</v>
      </c>
      <c r="H565" s="11">
        <v>0</v>
      </c>
      <c r="I565" s="11">
        <v>0</v>
      </c>
      <c r="J565" s="11">
        <v>0</v>
      </c>
      <c r="K565" s="11">
        <v>4000000</v>
      </c>
      <c r="L565" s="11">
        <v>12618600</v>
      </c>
      <c r="M565" s="11">
        <v>16304300</v>
      </c>
      <c r="N565" s="11">
        <v>0</v>
      </c>
    </row>
    <row r="566" spans="1:14" x14ac:dyDescent="0.3">
      <c r="A566" s="10">
        <v>46020</v>
      </c>
      <c r="B566" t="s">
        <v>19</v>
      </c>
      <c r="C566" t="str">
        <f t="shared" si="25"/>
        <v>342856178566</v>
      </c>
      <c r="D566" t="str">
        <f t="shared" si="26"/>
        <v>Client566</v>
      </c>
      <c r="E566" t="str">
        <f t="shared" si="24"/>
        <v>BOB566</v>
      </c>
      <c r="F566" t="s">
        <v>24</v>
      </c>
      <c r="G566" s="11" t="s">
        <v>22</v>
      </c>
      <c r="H566" s="11">
        <v>0</v>
      </c>
      <c r="I566" s="11">
        <v>0</v>
      </c>
      <c r="J566" s="11">
        <v>0</v>
      </c>
      <c r="K566" s="11">
        <v>200000</v>
      </c>
      <c r="L566" s="11">
        <v>3059200</v>
      </c>
      <c r="M566" s="11">
        <v>3429800</v>
      </c>
      <c r="N566" s="11">
        <v>0</v>
      </c>
    </row>
    <row r="567" spans="1:14" x14ac:dyDescent="0.3">
      <c r="A567" s="10">
        <v>46020</v>
      </c>
      <c r="B567" t="s">
        <v>19</v>
      </c>
      <c r="C567" t="str">
        <f t="shared" si="25"/>
        <v>342856178567</v>
      </c>
      <c r="D567" t="str">
        <f t="shared" si="26"/>
        <v>Client567</v>
      </c>
      <c r="E567" t="str">
        <f t="shared" si="24"/>
        <v>BOB567</v>
      </c>
      <c r="F567" t="s">
        <v>32</v>
      </c>
      <c r="G567" s="11" t="s">
        <v>22</v>
      </c>
      <c r="H567" s="11">
        <v>0</v>
      </c>
      <c r="I567" s="11">
        <v>0</v>
      </c>
      <c r="J567" s="11">
        <v>2000000</v>
      </c>
      <c r="K567" s="11">
        <v>0</v>
      </c>
      <c r="L567" s="11">
        <v>20090700</v>
      </c>
      <c r="M567" s="11">
        <v>18360300</v>
      </c>
      <c r="N567" s="11">
        <v>0</v>
      </c>
    </row>
    <row r="568" spans="1:14" x14ac:dyDescent="0.3">
      <c r="A568" s="10">
        <v>46020</v>
      </c>
      <c r="B568" t="s">
        <v>19</v>
      </c>
      <c r="C568" t="str">
        <f t="shared" si="25"/>
        <v>342856178568</v>
      </c>
      <c r="D568" t="str">
        <f t="shared" si="26"/>
        <v>Client568</v>
      </c>
      <c r="E568" t="str">
        <f t="shared" si="24"/>
        <v>BOB568</v>
      </c>
      <c r="F568" t="s">
        <v>21</v>
      </c>
      <c r="G568" s="11" t="s">
        <v>22</v>
      </c>
      <c r="H568" s="11">
        <v>0</v>
      </c>
      <c r="I568" s="11">
        <v>0</v>
      </c>
      <c r="J568" s="11">
        <v>0</v>
      </c>
      <c r="K568" s="11">
        <v>0</v>
      </c>
      <c r="L568" s="11">
        <v>2805800</v>
      </c>
      <c r="M568" s="11">
        <v>3194500</v>
      </c>
      <c r="N568" s="11">
        <v>0</v>
      </c>
    </row>
    <row r="569" spans="1:14" x14ac:dyDescent="0.3">
      <c r="A569" s="10">
        <v>46020</v>
      </c>
      <c r="B569" t="s">
        <v>19</v>
      </c>
      <c r="C569" t="str">
        <f t="shared" si="25"/>
        <v>342856178569</v>
      </c>
      <c r="D569" t="str">
        <f t="shared" si="26"/>
        <v>Client569</v>
      </c>
      <c r="E569" t="str">
        <f t="shared" si="24"/>
        <v>BOB569</v>
      </c>
      <c r="F569" t="s">
        <v>30</v>
      </c>
      <c r="G569" s="11" t="s">
        <v>22</v>
      </c>
      <c r="H569" s="11">
        <v>0</v>
      </c>
      <c r="I569" s="11">
        <v>0</v>
      </c>
      <c r="J569" s="11">
        <v>30677000</v>
      </c>
      <c r="K569" s="11">
        <v>0</v>
      </c>
      <c r="L569" s="11">
        <v>45524400</v>
      </c>
      <c r="M569" s="11">
        <v>16620000</v>
      </c>
      <c r="N569" s="11">
        <v>0</v>
      </c>
    </row>
    <row r="570" spans="1:14" x14ac:dyDescent="0.3">
      <c r="A570" s="10">
        <v>46020</v>
      </c>
      <c r="B570" t="s">
        <v>19</v>
      </c>
      <c r="C570" t="str">
        <f t="shared" si="25"/>
        <v>342856178570</v>
      </c>
      <c r="D570" t="str">
        <f t="shared" si="26"/>
        <v>Client570</v>
      </c>
      <c r="E570" t="str">
        <f t="shared" si="24"/>
        <v>BOB570</v>
      </c>
      <c r="F570" t="s">
        <v>24</v>
      </c>
      <c r="G570" s="11" t="s">
        <v>22</v>
      </c>
      <c r="H570" s="11">
        <v>0</v>
      </c>
      <c r="I570" s="11">
        <v>0</v>
      </c>
      <c r="J570" s="11">
        <v>0</v>
      </c>
      <c r="K570" s="11">
        <v>0</v>
      </c>
      <c r="L570" s="11">
        <v>0</v>
      </c>
      <c r="M570" s="11">
        <v>0</v>
      </c>
      <c r="N570" s="11">
        <v>0</v>
      </c>
    </row>
    <row r="571" spans="1:14" x14ac:dyDescent="0.3">
      <c r="A571" s="10">
        <v>46020</v>
      </c>
      <c r="B571" t="s">
        <v>19</v>
      </c>
      <c r="C571" t="str">
        <f t="shared" si="25"/>
        <v>342856178571</v>
      </c>
      <c r="D571" t="str">
        <f t="shared" si="26"/>
        <v>Client571</v>
      </c>
      <c r="E571" t="str">
        <f t="shared" si="24"/>
        <v>BOB571</v>
      </c>
      <c r="G571" s="11"/>
      <c r="H571" s="11">
        <v>0</v>
      </c>
      <c r="I571" s="11">
        <v>0</v>
      </c>
      <c r="J571" s="11">
        <v>0</v>
      </c>
      <c r="K571" s="11">
        <v>4600000</v>
      </c>
      <c r="L571" s="11">
        <v>1845700</v>
      </c>
      <c r="M571" s="11">
        <v>9266500</v>
      </c>
      <c r="N571" s="11">
        <v>0</v>
      </c>
    </row>
    <row r="572" spans="1:14" x14ac:dyDescent="0.3">
      <c r="A572" s="10">
        <v>46020</v>
      </c>
      <c r="B572" t="s">
        <v>19</v>
      </c>
      <c r="C572" t="str">
        <f t="shared" si="25"/>
        <v>342856178572</v>
      </c>
      <c r="D572" t="str">
        <f t="shared" si="26"/>
        <v>Client572</v>
      </c>
      <c r="E572" t="str">
        <f t="shared" si="24"/>
        <v>BOB572</v>
      </c>
      <c r="F572" t="s">
        <v>26</v>
      </c>
      <c r="G572" s="11" t="s">
        <v>27</v>
      </c>
      <c r="H572" s="11">
        <v>0</v>
      </c>
      <c r="I572" s="11">
        <v>0</v>
      </c>
      <c r="J572" s="11">
        <v>11100000</v>
      </c>
      <c r="K572" s="11">
        <v>5000000</v>
      </c>
      <c r="L572" s="11">
        <v>17354300</v>
      </c>
      <c r="M572" s="11">
        <v>11026000</v>
      </c>
      <c r="N572" s="11">
        <v>0</v>
      </c>
    </row>
    <row r="573" spans="1:14" x14ac:dyDescent="0.3">
      <c r="A573" s="10">
        <v>46020</v>
      </c>
      <c r="B573" t="s">
        <v>19</v>
      </c>
      <c r="C573" t="str">
        <f t="shared" si="25"/>
        <v>342856178573</v>
      </c>
      <c r="D573" t="str">
        <f t="shared" si="26"/>
        <v>Client573</v>
      </c>
      <c r="E573" t="str">
        <f t="shared" si="24"/>
        <v>BOB573</v>
      </c>
      <c r="G573" s="11"/>
      <c r="H573" s="11">
        <v>0</v>
      </c>
      <c r="I573" s="11">
        <v>0</v>
      </c>
      <c r="J573" s="11">
        <v>14000000</v>
      </c>
      <c r="K573" s="11">
        <v>14800000</v>
      </c>
      <c r="L573" s="11">
        <v>0</v>
      </c>
      <c r="M573" s="11">
        <v>0</v>
      </c>
      <c r="N573" s="11">
        <v>0</v>
      </c>
    </row>
    <row r="574" spans="1:14" x14ac:dyDescent="0.3">
      <c r="A574" s="10">
        <v>46020</v>
      </c>
      <c r="B574" t="s">
        <v>19</v>
      </c>
      <c r="C574" t="str">
        <f t="shared" si="25"/>
        <v>342856178574</v>
      </c>
      <c r="D574" t="str">
        <f t="shared" si="26"/>
        <v>Client574</v>
      </c>
      <c r="E574" t="str">
        <f t="shared" si="24"/>
        <v>BOB574</v>
      </c>
      <c r="F574" t="s">
        <v>26</v>
      </c>
      <c r="G574" s="11" t="s">
        <v>27</v>
      </c>
      <c r="H574" s="11">
        <v>0</v>
      </c>
      <c r="I574" s="11">
        <v>0</v>
      </c>
      <c r="J574" s="11">
        <v>0</v>
      </c>
      <c r="K574" s="11">
        <v>600600</v>
      </c>
      <c r="L574" s="11">
        <v>1061200</v>
      </c>
      <c r="M574" s="11">
        <v>1384000</v>
      </c>
      <c r="N574" s="11">
        <v>0</v>
      </c>
    </row>
    <row r="575" spans="1:14" x14ac:dyDescent="0.3">
      <c r="A575" s="10">
        <v>46020</v>
      </c>
      <c r="B575" t="s">
        <v>19</v>
      </c>
      <c r="C575" t="str">
        <f t="shared" si="25"/>
        <v>342856178575</v>
      </c>
      <c r="D575" t="str">
        <f t="shared" si="26"/>
        <v>Client575</v>
      </c>
      <c r="E575" t="str">
        <f t="shared" si="24"/>
        <v>BOB575</v>
      </c>
      <c r="F575" t="s">
        <v>32</v>
      </c>
      <c r="G575" s="11" t="s">
        <v>22</v>
      </c>
      <c r="H575" s="11">
        <v>0</v>
      </c>
      <c r="I575" s="11">
        <v>0</v>
      </c>
      <c r="J575" s="11">
        <v>895000</v>
      </c>
      <c r="K575" s="11">
        <v>6170000</v>
      </c>
      <c r="L575" s="11">
        <v>16207700</v>
      </c>
      <c r="M575" s="11">
        <v>21498500</v>
      </c>
      <c r="N575" s="11">
        <v>0</v>
      </c>
    </row>
    <row r="576" spans="1:14" x14ac:dyDescent="0.3">
      <c r="A576" s="10">
        <v>46020</v>
      </c>
      <c r="B576" t="s">
        <v>19</v>
      </c>
      <c r="C576" t="str">
        <f t="shared" si="25"/>
        <v>342856178576</v>
      </c>
      <c r="D576" t="str">
        <f t="shared" si="26"/>
        <v>Client576</v>
      </c>
      <c r="E576" t="str">
        <f t="shared" si="24"/>
        <v>BOB576</v>
      </c>
      <c r="G576" s="11"/>
      <c r="H576" s="11">
        <v>0</v>
      </c>
      <c r="I576" s="11">
        <v>0</v>
      </c>
      <c r="J576" s="11">
        <v>0</v>
      </c>
      <c r="K576" s="11">
        <v>5804500</v>
      </c>
      <c r="L576" s="11">
        <v>2917300</v>
      </c>
      <c r="M576" s="11">
        <v>7704300</v>
      </c>
      <c r="N576" s="11">
        <v>0</v>
      </c>
    </row>
    <row r="577" spans="1:14" x14ac:dyDescent="0.3">
      <c r="A577" s="10">
        <v>46020</v>
      </c>
      <c r="B577" t="s">
        <v>19</v>
      </c>
      <c r="C577" t="str">
        <f t="shared" si="25"/>
        <v>342856178577</v>
      </c>
      <c r="D577" t="str">
        <f t="shared" si="26"/>
        <v>Client577</v>
      </c>
      <c r="E577" t="str">
        <f t="shared" si="24"/>
        <v>BOB577</v>
      </c>
      <c r="F577" t="s">
        <v>30</v>
      </c>
      <c r="G577" s="11" t="s">
        <v>97</v>
      </c>
      <c r="H577" s="11">
        <v>0</v>
      </c>
      <c r="I577" s="11">
        <v>0</v>
      </c>
      <c r="J577" s="11">
        <v>0</v>
      </c>
      <c r="K577" s="11">
        <v>0</v>
      </c>
      <c r="L577" s="11">
        <v>109700</v>
      </c>
      <c r="M577" s="11">
        <v>157500</v>
      </c>
      <c r="N577" s="11">
        <v>0</v>
      </c>
    </row>
    <row r="578" spans="1:14" x14ac:dyDescent="0.3">
      <c r="A578" s="10">
        <v>46020</v>
      </c>
      <c r="B578" t="s">
        <v>19</v>
      </c>
      <c r="C578" t="str">
        <f t="shared" si="25"/>
        <v>342856178578</v>
      </c>
      <c r="D578" t="str">
        <f t="shared" si="26"/>
        <v>Client578</v>
      </c>
      <c r="E578" t="str">
        <f t="shared" si="24"/>
        <v>BOB578</v>
      </c>
      <c r="F578" t="s">
        <v>24</v>
      </c>
      <c r="G578" s="11" t="s">
        <v>22</v>
      </c>
      <c r="H578" s="11">
        <v>0</v>
      </c>
      <c r="I578" s="11">
        <v>0</v>
      </c>
      <c r="J578" s="11">
        <v>3000000</v>
      </c>
      <c r="K578" s="11">
        <v>4800000</v>
      </c>
      <c r="L578" s="11">
        <v>23990400</v>
      </c>
      <c r="M578" s="11">
        <v>26103300</v>
      </c>
      <c r="N578" s="11">
        <v>0</v>
      </c>
    </row>
    <row r="579" spans="1:14" x14ac:dyDescent="0.3">
      <c r="A579" s="10">
        <v>46020</v>
      </c>
      <c r="B579" t="s">
        <v>19</v>
      </c>
      <c r="C579" t="str">
        <f t="shared" si="25"/>
        <v>342856178579</v>
      </c>
      <c r="D579" t="str">
        <f t="shared" si="26"/>
        <v>Client579</v>
      </c>
      <c r="E579" t="str">
        <f t="shared" ref="E579:E642" si="27">"BOB"&amp;ROW()</f>
        <v>BOB579</v>
      </c>
      <c r="F579" t="s">
        <v>21</v>
      </c>
      <c r="G579" s="11" t="s">
        <v>22</v>
      </c>
      <c r="H579" s="11">
        <v>0</v>
      </c>
      <c r="I579" s="11">
        <v>0</v>
      </c>
      <c r="J579" s="11">
        <v>0</v>
      </c>
      <c r="K579" s="11">
        <v>0</v>
      </c>
      <c r="L579" s="11">
        <v>9705500</v>
      </c>
      <c r="M579" s="11">
        <v>12483900</v>
      </c>
      <c r="N579" s="11">
        <v>0</v>
      </c>
    </row>
    <row r="580" spans="1:14" x14ac:dyDescent="0.3">
      <c r="A580" s="10">
        <v>46020</v>
      </c>
      <c r="B580" t="s">
        <v>19</v>
      </c>
      <c r="C580" t="str">
        <f t="shared" ref="C580:C643" si="28" xml:space="preserve"> "342856178" &amp; ROW()</f>
        <v>342856178580</v>
      </c>
      <c r="D580" t="str">
        <f t="shared" ref="D580:D643" si="29">"Client"  &amp; ROW()</f>
        <v>Client580</v>
      </c>
      <c r="E580" t="str">
        <f t="shared" si="27"/>
        <v>BOB580</v>
      </c>
      <c r="F580" t="s">
        <v>68</v>
      </c>
      <c r="G580" s="11" t="s">
        <v>22</v>
      </c>
      <c r="H580" s="11">
        <v>0</v>
      </c>
      <c r="I580" s="11">
        <v>0</v>
      </c>
      <c r="J580" s="11">
        <v>0</v>
      </c>
      <c r="K580" s="11">
        <v>0</v>
      </c>
      <c r="L580" s="11">
        <v>0</v>
      </c>
      <c r="M580" s="11">
        <v>0</v>
      </c>
      <c r="N580" s="11">
        <v>0</v>
      </c>
    </row>
    <row r="581" spans="1:14" x14ac:dyDescent="0.3">
      <c r="A581" s="10">
        <v>46020</v>
      </c>
      <c r="B581" t="s">
        <v>19</v>
      </c>
      <c r="C581" t="str">
        <f t="shared" si="28"/>
        <v>342856178581</v>
      </c>
      <c r="D581" t="str">
        <f t="shared" si="29"/>
        <v>Client581</v>
      </c>
      <c r="E581" t="str">
        <f t="shared" si="27"/>
        <v>BOB581</v>
      </c>
      <c r="F581" t="s">
        <v>24</v>
      </c>
      <c r="G581" s="11" t="s">
        <v>86</v>
      </c>
      <c r="H581" s="11">
        <v>0</v>
      </c>
      <c r="I581" s="11">
        <v>0</v>
      </c>
      <c r="J581" s="11">
        <v>0</v>
      </c>
      <c r="K581" s="11">
        <v>5350000</v>
      </c>
      <c r="L581" s="11">
        <v>17987900</v>
      </c>
      <c r="M581" s="11">
        <v>28657900</v>
      </c>
      <c r="N581" s="11">
        <v>0</v>
      </c>
    </row>
    <row r="582" spans="1:14" x14ac:dyDescent="0.3">
      <c r="A582" s="10">
        <v>46020</v>
      </c>
      <c r="B582" t="s">
        <v>19</v>
      </c>
      <c r="C582" t="str">
        <f t="shared" si="28"/>
        <v>342856178582</v>
      </c>
      <c r="D582" t="str">
        <f t="shared" si="29"/>
        <v>Client582</v>
      </c>
      <c r="E582" t="str">
        <f t="shared" si="27"/>
        <v>BOB582</v>
      </c>
      <c r="F582" t="s">
        <v>24</v>
      </c>
      <c r="G582" s="11" t="s">
        <v>88</v>
      </c>
      <c r="H582" s="11">
        <v>0</v>
      </c>
      <c r="I582" s="11">
        <v>0</v>
      </c>
      <c r="J582" s="11">
        <v>0</v>
      </c>
      <c r="K582" s="11">
        <v>0</v>
      </c>
      <c r="L582" s="11">
        <v>7524500</v>
      </c>
      <c r="M582" s="11">
        <v>10391900</v>
      </c>
      <c r="N582" s="11">
        <v>0</v>
      </c>
    </row>
    <row r="583" spans="1:14" x14ac:dyDescent="0.3">
      <c r="A583" s="10">
        <v>46020</v>
      </c>
      <c r="B583" t="s">
        <v>19</v>
      </c>
      <c r="C583" t="str">
        <f t="shared" si="28"/>
        <v>342856178583</v>
      </c>
      <c r="D583" t="str">
        <f t="shared" si="29"/>
        <v>Client583</v>
      </c>
      <c r="E583" t="str">
        <f t="shared" si="27"/>
        <v>BOB583</v>
      </c>
      <c r="F583" t="s">
        <v>24</v>
      </c>
      <c r="G583" s="11" t="s">
        <v>88</v>
      </c>
      <c r="H583" s="11">
        <v>0</v>
      </c>
      <c r="I583" s="11">
        <v>0</v>
      </c>
      <c r="J583" s="11">
        <v>0</v>
      </c>
      <c r="K583" s="11">
        <v>0</v>
      </c>
      <c r="L583" s="11">
        <v>0</v>
      </c>
      <c r="M583" s="11">
        <v>0</v>
      </c>
      <c r="N583" s="11">
        <v>0</v>
      </c>
    </row>
    <row r="584" spans="1:14" x14ac:dyDescent="0.3">
      <c r="A584" s="10">
        <v>46020</v>
      </c>
      <c r="B584" t="s">
        <v>19</v>
      </c>
      <c r="C584" t="str">
        <f t="shared" si="28"/>
        <v>342856178584</v>
      </c>
      <c r="D584" t="str">
        <f t="shared" si="29"/>
        <v>Client584</v>
      </c>
      <c r="E584" t="str">
        <f t="shared" si="27"/>
        <v>BOB584</v>
      </c>
      <c r="F584" t="s">
        <v>32</v>
      </c>
      <c r="G584" s="11" t="s">
        <v>22</v>
      </c>
      <c r="H584" s="11">
        <v>0</v>
      </c>
      <c r="I584" s="11">
        <v>0</v>
      </c>
      <c r="J584" s="11">
        <v>0</v>
      </c>
      <c r="K584" s="11">
        <v>0</v>
      </c>
      <c r="L584" s="11">
        <v>9482600</v>
      </c>
      <c r="M584" s="11">
        <v>10214000</v>
      </c>
      <c r="N584" s="11">
        <v>0</v>
      </c>
    </row>
    <row r="585" spans="1:14" x14ac:dyDescent="0.3">
      <c r="A585" s="10">
        <v>46020</v>
      </c>
      <c r="B585" t="s">
        <v>19</v>
      </c>
      <c r="C585" t="str">
        <f t="shared" si="28"/>
        <v>342856178585</v>
      </c>
      <c r="D585" t="str">
        <f t="shared" si="29"/>
        <v>Client585</v>
      </c>
      <c r="E585" t="str">
        <f t="shared" si="27"/>
        <v>BOB585</v>
      </c>
      <c r="F585" t="s">
        <v>24</v>
      </c>
      <c r="G585" s="11" t="s">
        <v>22</v>
      </c>
      <c r="H585" s="11">
        <v>0</v>
      </c>
      <c r="I585" s="11">
        <v>0</v>
      </c>
      <c r="J585" s="11">
        <v>600000</v>
      </c>
      <c r="K585" s="11">
        <v>0</v>
      </c>
      <c r="L585" s="11">
        <v>3913900</v>
      </c>
      <c r="M585" s="11">
        <v>3520300</v>
      </c>
      <c r="N585" s="11">
        <v>0</v>
      </c>
    </row>
    <row r="586" spans="1:14" x14ac:dyDescent="0.3">
      <c r="A586" s="10">
        <v>46020</v>
      </c>
      <c r="B586" t="s">
        <v>19</v>
      </c>
      <c r="C586" t="str">
        <f t="shared" si="28"/>
        <v>342856178586</v>
      </c>
      <c r="D586" t="str">
        <f t="shared" si="29"/>
        <v>Client586</v>
      </c>
      <c r="E586" t="str">
        <f t="shared" si="27"/>
        <v>BOB586</v>
      </c>
      <c r="F586" t="s">
        <v>32</v>
      </c>
      <c r="G586" s="11" t="s">
        <v>22</v>
      </c>
      <c r="H586" s="11">
        <v>0</v>
      </c>
      <c r="I586" s="11">
        <v>0</v>
      </c>
      <c r="J586" s="11">
        <v>0</v>
      </c>
      <c r="K586" s="11">
        <v>0</v>
      </c>
      <c r="L586" s="11">
        <v>67215500</v>
      </c>
      <c r="M586" s="11">
        <v>78416400</v>
      </c>
      <c r="N586" s="11">
        <v>0</v>
      </c>
    </row>
    <row r="587" spans="1:14" x14ac:dyDescent="0.3">
      <c r="A587" s="10">
        <v>46020</v>
      </c>
      <c r="B587" t="s">
        <v>19</v>
      </c>
      <c r="C587" t="str">
        <f t="shared" si="28"/>
        <v>342856178587</v>
      </c>
      <c r="D587" t="str">
        <f t="shared" si="29"/>
        <v>Client587</v>
      </c>
      <c r="E587" t="str">
        <f t="shared" si="27"/>
        <v>BOB587</v>
      </c>
      <c r="G587" s="11"/>
      <c r="H587" s="11">
        <v>0</v>
      </c>
      <c r="I587" s="11">
        <v>0</v>
      </c>
      <c r="J587" s="11">
        <v>0</v>
      </c>
      <c r="K587" s="11">
        <v>0</v>
      </c>
      <c r="L587" s="11">
        <v>3688200</v>
      </c>
      <c r="M587" s="11">
        <v>3450900</v>
      </c>
      <c r="N587" s="11">
        <v>0</v>
      </c>
    </row>
    <row r="588" spans="1:14" x14ac:dyDescent="0.3">
      <c r="A588" s="10">
        <v>46020</v>
      </c>
      <c r="B588" t="s">
        <v>19</v>
      </c>
      <c r="C588" t="str">
        <f t="shared" si="28"/>
        <v>342856178588</v>
      </c>
      <c r="D588" t="str">
        <f t="shared" si="29"/>
        <v>Client588</v>
      </c>
      <c r="E588" t="str">
        <f t="shared" si="27"/>
        <v>BOB588</v>
      </c>
      <c r="F588" t="s">
        <v>32</v>
      </c>
      <c r="G588" s="11" t="s">
        <v>22</v>
      </c>
      <c r="H588" s="11">
        <v>0</v>
      </c>
      <c r="I588" s="11">
        <v>1402000</v>
      </c>
      <c r="J588" s="11">
        <v>0</v>
      </c>
      <c r="K588" s="11">
        <v>0</v>
      </c>
      <c r="L588" s="11">
        <v>9331400</v>
      </c>
      <c r="M588" s="11">
        <v>10948900</v>
      </c>
      <c r="N588" s="11">
        <v>0</v>
      </c>
    </row>
    <row r="589" spans="1:14" x14ac:dyDescent="0.3">
      <c r="A589" s="10">
        <v>46020</v>
      </c>
      <c r="B589" t="s">
        <v>19</v>
      </c>
      <c r="C589" t="str">
        <f t="shared" si="28"/>
        <v>342856178589</v>
      </c>
      <c r="D589" t="str">
        <f t="shared" si="29"/>
        <v>Client589</v>
      </c>
      <c r="E589" t="str">
        <f t="shared" si="27"/>
        <v>BOB589</v>
      </c>
      <c r="G589" s="11"/>
      <c r="H589" s="11">
        <v>0</v>
      </c>
      <c r="I589" s="11">
        <v>0</v>
      </c>
      <c r="J589" s="11">
        <v>0</v>
      </c>
      <c r="K589" s="11">
        <v>0</v>
      </c>
      <c r="L589" s="11">
        <v>45600</v>
      </c>
      <c r="M589" s="11">
        <v>463000</v>
      </c>
      <c r="N589" s="11">
        <v>0</v>
      </c>
    </row>
    <row r="590" spans="1:14" x14ac:dyDescent="0.3">
      <c r="A590" s="10">
        <v>46020</v>
      </c>
      <c r="B590" t="s">
        <v>19</v>
      </c>
      <c r="C590" t="str">
        <f t="shared" si="28"/>
        <v>342856178590</v>
      </c>
      <c r="D590" t="str">
        <f t="shared" si="29"/>
        <v>Client590</v>
      </c>
      <c r="E590" t="str">
        <f t="shared" si="27"/>
        <v>BOB590</v>
      </c>
      <c r="F590" t="s">
        <v>26</v>
      </c>
      <c r="G590" s="11" t="s">
        <v>27</v>
      </c>
      <c r="H590" s="11">
        <v>0</v>
      </c>
      <c r="I590" s="11">
        <v>0</v>
      </c>
      <c r="J590" s="11">
        <v>0</v>
      </c>
      <c r="K590" s="11">
        <v>0</v>
      </c>
      <c r="L590" s="11">
        <v>9856000</v>
      </c>
      <c r="M590" s="11">
        <v>10030100</v>
      </c>
      <c r="N590" s="11">
        <v>0</v>
      </c>
    </row>
    <row r="591" spans="1:14" x14ac:dyDescent="0.3">
      <c r="A591" s="10">
        <v>46020</v>
      </c>
      <c r="B591" t="s">
        <v>19</v>
      </c>
      <c r="C591" t="str">
        <f t="shared" si="28"/>
        <v>342856178591</v>
      </c>
      <c r="D591" t="str">
        <f t="shared" si="29"/>
        <v>Client591</v>
      </c>
      <c r="E591" t="str">
        <f t="shared" si="27"/>
        <v>BOB591</v>
      </c>
      <c r="F591" t="s">
        <v>21</v>
      </c>
      <c r="G591" s="11" t="s">
        <v>22</v>
      </c>
      <c r="H591" s="11">
        <v>0</v>
      </c>
      <c r="I591" s="11">
        <v>0</v>
      </c>
      <c r="J591" s="11">
        <v>0</v>
      </c>
      <c r="K591" s="11">
        <v>0</v>
      </c>
      <c r="L591" s="11">
        <v>8075400</v>
      </c>
      <c r="M591" s="11">
        <v>7867100</v>
      </c>
      <c r="N591" s="11">
        <v>0</v>
      </c>
    </row>
    <row r="592" spans="1:14" x14ac:dyDescent="0.3">
      <c r="A592" s="10">
        <v>46020</v>
      </c>
      <c r="B592" t="s">
        <v>19</v>
      </c>
      <c r="C592" t="str">
        <f t="shared" si="28"/>
        <v>342856178592</v>
      </c>
      <c r="D592" t="str">
        <f t="shared" si="29"/>
        <v>Client592</v>
      </c>
      <c r="E592" t="str">
        <f t="shared" si="27"/>
        <v>BOB592</v>
      </c>
      <c r="F592" t="s">
        <v>26</v>
      </c>
      <c r="G592" s="11" t="s">
        <v>27</v>
      </c>
      <c r="H592" s="11">
        <v>0</v>
      </c>
      <c r="I592" s="11">
        <v>0</v>
      </c>
      <c r="J592" s="11">
        <v>0</v>
      </c>
      <c r="K592" s="11">
        <v>0</v>
      </c>
      <c r="L592" s="11">
        <v>21497400</v>
      </c>
      <c r="M592" s="11">
        <v>20863600</v>
      </c>
      <c r="N592" s="11">
        <v>0</v>
      </c>
    </row>
    <row r="593" spans="1:14" x14ac:dyDescent="0.3">
      <c r="A593" s="10">
        <v>46020</v>
      </c>
      <c r="B593" t="s">
        <v>19</v>
      </c>
      <c r="C593" t="str">
        <f t="shared" si="28"/>
        <v>342856178593</v>
      </c>
      <c r="D593" t="str">
        <f t="shared" si="29"/>
        <v>Client593</v>
      </c>
      <c r="E593" t="str">
        <f t="shared" si="27"/>
        <v>BOB593</v>
      </c>
      <c r="F593" t="s">
        <v>26</v>
      </c>
      <c r="G593" s="11" t="s">
        <v>27</v>
      </c>
      <c r="H593" s="11">
        <v>0</v>
      </c>
      <c r="I593" s="11">
        <v>0</v>
      </c>
      <c r="J593" s="11">
        <v>0</v>
      </c>
      <c r="K593" s="11">
        <v>3503500</v>
      </c>
      <c r="L593" s="11">
        <v>10063900</v>
      </c>
      <c r="M593" s="11">
        <v>15094100</v>
      </c>
      <c r="N593" s="11">
        <v>0</v>
      </c>
    </row>
    <row r="594" spans="1:14" x14ac:dyDescent="0.3">
      <c r="A594" s="10">
        <v>46020</v>
      </c>
      <c r="B594" t="s">
        <v>19</v>
      </c>
      <c r="C594" t="str">
        <f t="shared" si="28"/>
        <v>342856178594</v>
      </c>
      <c r="D594" t="str">
        <f t="shared" si="29"/>
        <v>Client594</v>
      </c>
      <c r="E594" t="str">
        <f t="shared" si="27"/>
        <v>BOB594</v>
      </c>
      <c r="F594" t="s">
        <v>30</v>
      </c>
      <c r="G594" s="11" t="s">
        <v>98</v>
      </c>
      <c r="H594" s="11">
        <v>0</v>
      </c>
      <c r="I594" s="11">
        <v>0</v>
      </c>
      <c r="J594" s="11">
        <v>0</v>
      </c>
      <c r="K594" s="11">
        <v>4116000</v>
      </c>
      <c r="L594" s="11">
        <v>4173100</v>
      </c>
      <c r="M594" s="11">
        <v>5979100</v>
      </c>
      <c r="N594" s="11">
        <v>0</v>
      </c>
    </row>
    <row r="595" spans="1:14" x14ac:dyDescent="0.3">
      <c r="A595" s="10">
        <v>46020</v>
      </c>
      <c r="B595" t="s">
        <v>19</v>
      </c>
      <c r="C595" t="str">
        <f t="shared" si="28"/>
        <v>342856178595</v>
      </c>
      <c r="D595" t="str">
        <f t="shared" si="29"/>
        <v>Client595</v>
      </c>
      <c r="E595" t="str">
        <f t="shared" si="27"/>
        <v>BOB595</v>
      </c>
      <c r="F595" t="s">
        <v>32</v>
      </c>
      <c r="G595" s="11" t="s">
        <v>22</v>
      </c>
      <c r="H595" s="11">
        <v>0</v>
      </c>
      <c r="I595" s="11">
        <v>2003000</v>
      </c>
      <c r="J595" s="11">
        <v>0</v>
      </c>
      <c r="K595" s="11">
        <v>0</v>
      </c>
      <c r="L595" s="11">
        <v>8758500</v>
      </c>
      <c r="M595" s="11">
        <v>10343100</v>
      </c>
      <c r="N595" s="11">
        <v>0</v>
      </c>
    </row>
    <row r="596" spans="1:14" x14ac:dyDescent="0.3">
      <c r="A596" s="10">
        <v>46020</v>
      </c>
      <c r="B596" t="s">
        <v>19</v>
      </c>
      <c r="C596" t="str">
        <f t="shared" si="28"/>
        <v>342856178596</v>
      </c>
      <c r="D596" t="str">
        <f t="shared" si="29"/>
        <v>Client596</v>
      </c>
      <c r="E596" t="str">
        <f t="shared" si="27"/>
        <v>BOB596</v>
      </c>
      <c r="F596" t="s">
        <v>21</v>
      </c>
      <c r="G596" s="11" t="s">
        <v>22</v>
      </c>
      <c r="H596" s="11">
        <v>0</v>
      </c>
      <c r="I596" s="11">
        <v>0</v>
      </c>
      <c r="J596" s="11">
        <v>0</v>
      </c>
      <c r="K596" s="11">
        <v>0</v>
      </c>
      <c r="L596" s="11">
        <v>0</v>
      </c>
      <c r="M596" s="11">
        <v>0</v>
      </c>
      <c r="N596" s="11">
        <v>0</v>
      </c>
    </row>
    <row r="597" spans="1:14" x14ac:dyDescent="0.3">
      <c r="A597" s="10">
        <v>46020</v>
      </c>
      <c r="B597" t="s">
        <v>19</v>
      </c>
      <c r="C597" t="str">
        <f t="shared" si="28"/>
        <v>342856178597</v>
      </c>
      <c r="D597" t="str">
        <f t="shared" si="29"/>
        <v>Client597</v>
      </c>
      <c r="E597" t="str">
        <f t="shared" si="27"/>
        <v>BOB597</v>
      </c>
      <c r="F597" t="s">
        <v>24</v>
      </c>
      <c r="G597" s="11" t="s">
        <v>22</v>
      </c>
      <c r="H597" s="11">
        <v>0</v>
      </c>
      <c r="I597" s="11">
        <v>0</v>
      </c>
      <c r="J597" s="11">
        <v>0</v>
      </c>
      <c r="K597" s="11">
        <v>0</v>
      </c>
      <c r="L597" s="11">
        <v>6713100</v>
      </c>
      <c r="M597" s="11">
        <v>6587200</v>
      </c>
      <c r="N597" s="11">
        <v>0</v>
      </c>
    </row>
    <row r="598" spans="1:14" x14ac:dyDescent="0.3">
      <c r="A598" s="10">
        <v>46020</v>
      </c>
      <c r="B598" t="s">
        <v>19</v>
      </c>
      <c r="C598" t="str">
        <f t="shared" si="28"/>
        <v>342856178598</v>
      </c>
      <c r="D598" t="str">
        <f t="shared" si="29"/>
        <v>Client598</v>
      </c>
      <c r="E598" t="str">
        <f t="shared" si="27"/>
        <v>BOB598</v>
      </c>
      <c r="F598" t="s">
        <v>24</v>
      </c>
      <c r="G598" s="11" t="s">
        <v>22</v>
      </c>
      <c r="H598" s="11">
        <v>0</v>
      </c>
      <c r="I598" s="11">
        <v>0</v>
      </c>
      <c r="J598" s="11">
        <v>0</v>
      </c>
      <c r="K598" s="11">
        <v>1000000</v>
      </c>
      <c r="L598" s="11">
        <v>2803300</v>
      </c>
      <c r="M598" s="11">
        <v>4129900</v>
      </c>
      <c r="N598" s="11">
        <v>0</v>
      </c>
    </row>
    <row r="599" spans="1:14" x14ac:dyDescent="0.3">
      <c r="A599" s="10">
        <v>46020</v>
      </c>
      <c r="B599" t="s">
        <v>19</v>
      </c>
      <c r="C599" t="str">
        <f t="shared" si="28"/>
        <v>342856178599</v>
      </c>
      <c r="D599" t="str">
        <f t="shared" si="29"/>
        <v>Client599</v>
      </c>
      <c r="E599" t="str">
        <f t="shared" si="27"/>
        <v>BOB599</v>
      </c>
      <c r="F599" t="s">
        <v>21</v>
      </c>
      <c r="G599" s="11" t="s">
        <v>22</v>
      </c>
      <c r="H599" s="11">
        <v>0</v>
      </c>
      <c r="I599" s="11">
        <v>0</v>
      </c>
      <c r="J599" s="11">
        <v>0</v>
      </c>
      <c r="K599" s="11">
        <v>0</v>
      </c>
      <c r="L599" s="11">
        <v>0</v>
      </c>
      <c r="M599" s="11">
        <v>0</v>
      </c>
      <c r="N599" s="11">
        <v>0</v>
      </c>
    </row>
    <row r="600" spans="1:14" x14ac:dyDescent="0.3">
      <c r="A600" s="10">
        <v>46020</v>
      </c>
      <c r="B600" t="s">
        <v>19</v>
      </c>
      <c r="C600" t="str">
        <f t="shared" si="28"/>
        <v>342856178600</v>
      </c>
      <c r="D600" t="str">
        <f t="shared" si="29"/>
        <v>Client600</v>
      </c>
      <c r="E600" t="str">
        <f t="shared" si="27"/>
        <v>BOB600</v>
      </c>
      <c r="F600" t="s">
        <v>30</v>
      </c>
      <c r="G600" s="11" t="s">
        <v>87</v>
      </c>
      <c r="H600" s="11">
        <v>0</v>
      </c>
      <c r="I600" s="11">
        <v>0</v>
      </c>
      <c r="J600" s="11">
        <v>0</v>
      </c>
      <c r="K600" s="11">
        <v>0</v>
      </c>
      <c r="L600" s="11">
        <v>60000</v>
      </c>
      <c r="M600" s="11">
        <v>1333800</v>
      </c>
      <c r="N600" s="11">
        <v>0</v>
      </c>
    </row>
    <row r="601" spans="1:14" x14ac:dyDescent="0.3">
      <c r="A601" s="10">
        <v>46020</v>
      </c>
      <c r="B601" t="s">
        <v>19</v>
      </c>
      <c r="C601" t="str">
        <f t="shared" si="28"/>
        <v>342856178601</v>
      </c>
      <c r="D601" t="str">
        <f t="shared" si="29"/>
        <v>Client601</v>
      </c>
      <c r="E601" t="str">
        <f t="shared" si="27"/>
        <v>BOB601</v>
      </c>
      <c r="F601" t="s">
        <v>24</v>
      </c>
      <c r="G601" s="11" t="s">
        <v>22</v>
      </c>
      <c r="H601" s="11">
        <v>0</v>
      </c>
      <c r="I601" s="11">
        <v>0</v>
      </c>
      <c r="J601" s="11">
        <v>0</v>
      </c>
      <c r="K601" s="11">
        <v>3300000</v>
      </c>
      <c r="L601" s="11">
        <v>9054600</v>
      </c>
      <c r="M601" s="11">
        <v>13001000</v>
      </c>
      <c r="N601" s="11">
        <v>0</v>
      </c>
    </row>
    <row r="602" spans="1:14" x14ac:dyDescent="0.3">
      <c r="A602" s="10">
        <v>46020</v>
      </c>
      <c r="B602" t="s">
        <v>19</v>
      </c>
      <c r="C602" t="str">
        <f t="shared" si="28"/>
        <v>342856178602</v>
      </c>
      <c r="D602" t="str">
        <f t="shared" si="29"/>
        <v>Client602</v>
      </c>
      <c r="E602" t="str">
        <f t="shared" si="27"/>
        <v>BOB602</v>
      </c>
      <c r="F602" t="s">
        <v>21</v>
      </c>
      <c r="G602" s="11" t="s">
        <v>22</v>
      </c>
      <c r="H602" s="11">
        <v>0</v>
      </c>
      <c r="I602" s="11">
        <v>0</v>
      </c>
      <c r="J602" s="11">
        <v>0</v>
      </c>
      <c r="K602" s="11">
        <v>0</v>
      </c>
      <c r="L602" s="11">
        <v>205000</v>
      </c>
      <c r="M602" s="11">
        <v>109000</v>
      </c>
      <c r="N602" s="11">
        <v>0</v>
      </c>
    </row>
    <row r="603" spans="1:14" x14ac:dyDescent="0.3">
      <c r="A603" s="10">
        <v>46020</v>
      </c>
      <c r="B603" t="s">
        <v>19</v>
      </c>
      <c r="C603" t="str">
        <f t="shared" si="28"/>
        <v>342856178603</v>
      </c>
      <c r="D603" t="str">
        <f t="shared" si="29"/>
        <v>Client603</v>
      </c>
      <c r="E603" t="str">
        <f t="shared" si="27"/>
        <v>BOB603</v>
      </c>
      <c r="G603" s="11"/>
      <c r="H603" s="11">
        <v>0</v>
      </c>
      <c r="I603" s="11">
        <v>0</v>
      </c>
      <c r="J603" s="11">
        <v>0</v>
      </c>
      <c r="K603" s="11">
        <v>500000</v>
      </c>
      <c r="L603" s="11">
        <v>0</v>
      </c>
      <c r="M603" s="11">
        <v>0</v>
      </c>
      <c r="N603" s="11">
        <v>0</v>
      </c>
    </row>
    <row r="604" spans="1:14" x14ac:dyDescent="0.3">
      <c r="A604" s="10">
        <v>46020</v>
      </c>
      <c r="B604" t="s">
        <v>19</v>
      </c>
      <c r="C604" t="str">
        <f t="shared" si="28"/>
        <v>342856178604</v>
      </c>
      <c r="D604" t="str">
        <f t="shared" si="29"/>
        <v>Client604</v>
      </c>
      <c r="E604" t="str">
        <f t="shared" si="27"/>
        <v>BOB604</v>
      </c>
      <c r="F604" t="s">
        <v>24</v>
      </c>
      <c r="G604" s="11" t="s">
        <v>22</v>
      </c>
      <c r="H604" s="11">
        <v>0</v>
      </c>
      <c r="I604" s="11">
        <v>0</v>
      </c>
      <c r="J604" s="11">
        <v>0</v>
      </c>
      <c r="K604" s="11">
        <v>0</v>
      </c>
      <c r="L604" s="11">
        <v>156800</v>
      </c>
      <c r="M604" s="11">
        <v>111000</v>
      </c>
      <c r="N604" s="11">
        <v>0</v>
      </c>
    </row>
    <row r="605" spans="1:14" x14ac:dyDescent="0.3">
      <c r="A605" s="10">
        <v>46020</v>
      </c>
      <c r="B605" t="s">
        <v>19</v>
      </c>
      <c r="C605" t="str">
        <f t="shared" si="28"/>
        <v>342856178605</v>
      </c>
      <c r="D605" t="str">
        <f t="shared" si="29"/>
        <v>Client605</v>
      </c>
      <c r="E605" t="str">
        <f t="shared" si="27"/>
        <v>BOB605</v>
      </c>
      <c r="G605" s="11"/>
      <c r="H605" s="11">
        <v>0</v>
      </c>
      <c r="I605" s="11">
        <v>0</v>
      </c>
      <c r="J605" s="11">
        <v>0</v>
      </c>
      <c r="K605" s="11">
        <v>2003000</v>
      </c>
      <c r="L605" s="11">
        <v>8088100</v>
      </c>
      <c r="M605" s="11">
        <v>12324100</v>
      </c>
      <c r="N605" s="11">
        <v>0</v>
      </c>
    </row>
    <row r="606" spans="1:14" x14ac:dyDescent="0.3">
      <c r="A606" s="10">
        <v>46020</v>
      </c>
      <c r="B606" t="s">
        <v>19</v>
      </c>
      <c r="C606" t="str">
        <f t="shared" si="28"/>
        <v>342856178606</v>
      </c>
      <c r="D606" t="str">
        <f t="shared" si="29"/>
        <v>Client606</v>
      </c>
      <c r="E606" t="str">
        <f t="shared" si="27"/>
        <v>BOB606</v>
      </c>
      <c r="G606" s="11"/>
      <c r="H606" s="11">
        <v>0</v>
      </c>
      <c r="I606" s="11">
        <v>0</v>
      </c>
      <c r="J606" s="11">
        <v>0</v>
      </c>
      <c r="K606" s="11">
        <v>6006000</v>
      </c>
      <c r="L606" s="11">
        <v>2347600</v>
      </c>
      <c r="M606" s="11">
        <v>6941000</v>
      </c>
      <c r="N606" s="11">
        <v>0</v>
      </c>
    </row>
    <row r="607" spans="1:14" x14ac:dyDescent="0.3">
      <c r="A607" s="10">
        <v>46020</v>
      </c>
      <c r="B607" t="s">
        <v>19</v>
      </c>
      <c r="C607" t="str">
        <f t="shared" si="28"/>
        <v>342856178607</v>
      </c>
      <c r="D607" t="str">
        <f t="shared" si="29"/>
        <v>Client607</v>
      </c>
      <c r="E607" t="str">
        <f t="shared" si="27"/>
        <v>BOB607</v>
      </c>
      <c r="F607" t="s">
        <v>21</v>
      </c>
      <c r="G607" s="11" t="s">
        <v>22</v>
      </c>
      <c r="H607" s="11">
        <v>0</v>
      </c>
      <c r="I607" s="11">
        <v>0</v>
      </c>
      <c r="J607" s="11">
        <v>0</v>
      </c>
      <c r="K607" s="11">
        <v>0</v>
      </c>
      <c r="L607" s="11">
        <v>3654100</v>
      </c>
      <c r="M607" s="11">
        <v>3635100</v>
      </c>
      <c r="N607" s="11">
        <v>0</v>
      </c>
    </row>
    <row r="608" spans="1:14" x14ac:dyDescent="0.3">
      <c r="A608" s="10">
        <v>46020</v>
      </c>
      <c r="B608" t="s">
        <v>19</v>
      </c>
      <c r="C608" t="str">
        <f t="shared" si="28"/>
        <v>342856178608</v>
      </c>
      <c r="D608" t="str">
        <f t="shared" si="29"/>
        <v>Client608</v>
      </c>
      <c r="E608" t="str">
        <f t="shared" si="27"/>
        <v>BOB608</v>
      </c>
      <c r="F608" t="s">
        <v>32</v>
      </c>
      <c r="G608" s="11" t="s">
        <v>22</v>
      </c>
      <c r="H608" s="11">
        <v>0</v>
      </c>
      <c r="I608" s="11">
        <v>0</v>
      </c>
      <c r="J608" s="11">
        <v>300000</v>
      </c>
      <c r="K608" s="11">
        <v>5300000</v>
      </c>
      <c r="L608" s="11">
        <v>14230100</v>
      </c>
      <c r="M608" s="11">
        <v>19542200</v>
      </c>
      <c r="N608" s="11">
        <v>0</v>
      </c>
    </row>
    <row r="609" spans="1:14" x14ac:dyDescent="0.3">
      <c r="A609" s="10">
        <v>46020</v>
      </c>
      <c r="B609" t="s">
        <v>19</v>
      </c>
      <c r="C609" t="str">
        <f t="shared" si="28"/>
        <v>342856178609</v>
      </c>
      <c r="D609" t="str">
        <f t="shared" si="29"/>
        <v>Client609</v>
      </c>
      <c r="E609" t="str">
        <f t="shared" si="27"/>
        <v>BOB609</v>
      </c>
      <c r="F609" t="s">
        <v>32</v>
      </c>
      <c r="G609" s="11" t="s">
        <v>22</v>
      </c>
      <c r="H609" s="11">
        <v>0</v>
      </c>
      <c r="I609" s="11">
        <v>0</v>
      </c>
      <c r="J609" s="11">
        <v>0</v>
      </c>
      <c r="K609" s="11">
        <v>0</v>
      </c>
      <c r="L609" s="11">
        <v>2668700</v>
      </c>
      <c r="M609" s="11">
        <v>2973000</v>
      </c>
      <c r="N609" s="11">
        <v>0</v>
      </c>
    </row>
    <row r="610" spans="1:14" x14ac:dyDescent="0.3">
      <c r="A610" s="10">
        <v>46020</v>
      </c>
      <c r="B610" t="s">
        <v>19</v>
      </c>
      <c r="C610" t="str">
        <f t="shared" si="28"/>
        <v>342856178610</v>
      </c>
      <c r="D610" t="str">
        <f t="shared" si="29"/>
        <v>Client610</v>
      </c>
      <c r="E610" t="str">
        <f t="shared" si="27"/>
        <v>BOB610</v>
      </c>
      <c r="F610" t="s">
        <v>32</v>
      </c>
      <c r="G610" s="11" t="s">
        <v>22</v>
      </c>
      <c r="H610" s="11">
        <v>0</v>
      </c>
      <c r="I610" s="11">
        <v>0</v>
      </c>
      <c r="J610" s="11">
        <v>0</v>
      </c>
      <c r="K610" s="11">
        <v>0</v>
      </c>
      <c r="L610" s="11">
        <v>5461900</v>
      </c>
      <c r="M610" s="11">
        <v>5985500</v>
      </c>
      <c r="N610" s="11">
        <v>0</v>
      </c>
    </row>
    <row r="611" spans="1:14" x14ac:dyDescent="0.3">
      <c r="A611" s="10">
        <v>46020</v>
      </c>
      <c r="B611" t="s">
        <v>19</v>
      </c>
      <c r="C611" t="str">
        <f t="shared" si="28"/>
        <v>342856178611</v>
      </c>
      <c r="D611" t="str">
        <f t="shared" si="29"/>
        <v>Client611</v>
      </c>
      <c r="E611" t="str">
        <f t="shared" si="27"/>
        <v>BOB611</v>
      </c>
      <c r="F611" t="s">
        <v>32</v>
      </c>
      <c r="G611" s="11" t="s">
        <v>22</v>
      </c>
      <c r="H611" s="11">
        <v>0</v>
      </c>
      <c r="I611" s="11">
        <v>220000000</v>
      </c>
      <c r="J611" s="11">
        <v>425415000</v>
      </c>
      <c r="K611" s="11">
        <v>135168600</v>
      </c>
      <c r="L611" s="11">
        <v>60326000</v>
      </c>
      <c r="M611" s="11">
        <v>0</v>
      </c>
      <c r="N611" s="11">
        <v>0</v>
      </c>
    </row>
    <row r="612" spans="1:14" x14ac:dyDescent="0.3">
      <c r="A612" s="10">
        <v>46020</v>
      </c>
      <c r="B612" t="s">
        <v>19</v>
      </c>
      <c r="C612" t="str">
        <f t="shared" si="28"/>
        <v>342856178612</v>
      </c>
      <c r="D612" t="str">
        <f t="shared" si="29"/>
        <v>Client612</v>
      </c>
      <c r="E612" t="str">
        <f t="shared" si="27"/>
        <v>BOB612</v>
      </c>
      <c r="F612" t="s">
        <v>21</v>
      </c>
      <c r="G612" s="11" t="s">
        <v>22</v>
      </c>
      <c r="H612" s="11">
        <v>0</v>
      </c>
      <c r="I612" s="11">
        <v>0</v>
      </c>
      <c r="J612" s="11">
        <v>0</v>
      </c>
      <c r="K612" s="11">
        <v>0</v>
      </c>
      <c r="L612" s="11">
        <v>14063200</v>
      </c>
      <c r="M612" s="11">
        <v>12623700</v>
      </c>
      <c r="N612" s="11">
        <v>0</v>
      </c>
    </row>
    <row r="613" spans="1:14" x14ac:dyDescent="0.3">
      <c r="A613" s="10">
        <v>46020</v>
      </c>
      <c r="B613" t="s">
        <v>19</v>
      </c>
      <c r="C613" t="str">
        <f t="shared" si="28"/>
        <v>342856178613</v>
      </c>
      <c r="D613" t="str">
        <f t="shared" si="29"/>
        <v>Client613</v>
      </c>
      <c r="E613" t="str">
        <f t="shared" si="27"/>
        <v>BOB613</v>
      </c>
      <c r="F613" t="s">
        <v>21</v>
      </c>
      <c r="G613" s="11" t="s">
        <v>22</v>
      </c>
      <c r="H613" s="11">
        <v>0</v>
      </c>
      <c r="I613" s="11">
        <v>0</v>
      </c>
      <c r="J613" s="11">
        <v>400000</v>
      </c>
      <c r="K613" s="11">
        <v>700000</v>
      </c>
      <c r="L613" s="11">
        <v>3542300</v>
      </c>
      <c r="M613" s="11">
        <v>3100100</v>
      </c>
      <c r="N613" s="11">
        <v>0</v>
      </c>
    </row>
    <row r="614" spans="1:14" x14ac:dyDescent="0.3">
      <c r="A614" s="10">
        <v>46020</v>
      </c>
      <c r="B614" t="s">
        <v>19</v>
      </c>
      <c r="C614" t="str">
        <f t="shared" si="28"/>
        <v>342856178614</v>
      </c>
      <c r="D614" t="str">
        <f t="shared" si="29"/>
        <v>Client614</v>
      </c>
      <c r="E614" t="str">
        <f t="shared" si="27"/>
        <v>BOB614</v>
      </c>
      <c r="G614" s="11"/>
      <c r="H614" s="11">
        <v>0</v>
      </c>
      <c r="I614" s="11">
        <v>0</v>
      </c>
      <c r="J614" s="11">
        <v>0</v>
      </c>
      <c r="K614" s="11">
        <v>0</v>
      </c>
      <c r="L614" s="11">
        <v>3688800</v>
      </c>
      <c r="M614" s="11">
        <v>3708800</v>
      </c>
      <c r="N614" s="11">
        <v>0</v>
      </c>
    </row>
    <row r="615" spans="1:14" x14ac:dyDescent="0.3">
      <c r="A615" s="10">
        <v>46020</v>
      </c>
      <c r="B615" t="s">
        <v>19</v>
      </c>
      <c r="C615" t="str">
        <f t="shared" si="28"/>
        <v>342856178615</v>
      </c>
      <c r="D615" t="str">
        <f t="shared" si="29"/>
        <v>Client615</v>
      </c>
      <c r="E615" t="str">
        <f t="shared" si="27"/>
        <v>BOB615</v>
      </c>
      <c r="G615" s="11"/>
      <c r="H615" s="11">
        <v>0</v>
      </c>
      <c r="I615" s="11">
        <v>0</v>
      </c>
      <c r="J615" s="11">
        <v>3000000</v>
      </c>
      <c r="K615" s="11">
        <v>0</v>
      </c>
      <c r="L615" s="11">
        <v>3001000</v>
      </c>
      <c r="M615" s="11">
        <v>0</v>
      </c>
      <c r="N615" s="11">
        <v>0</v>
      </c>
    </row>
    <row r="616" spans="1:14" x14ac:dyDescent="0.3">
      <c r="A616" s="10">
        <v>46020</v>
      </c>
      <c r="B616" t="s">
        <v>19</v>
      </c>
      <c r="C616" t="str">
        <f t="shared" si="28"/>
        <v>342856178616</v>
      </c>
      <c r="D616" t="str">
        <f t="shared" si="29"/>
        <v>Client616</v>
      </c>
      <c r="E616" t="str">
        <f t="shared" si="27"/>
        <v>BOB616</v>
      </c>
      <c r="G616" s="11"/>
      <c r="H616" s="11">
        <v>0</v>
      </c>
      <c r="I616" s="11">
        <v>0</v>
      </c>
      <c r="J616" s="11">
        <v>0</v>
      </c>
      <c r="K616" s="11">
        <v>0</v>
      </c>
      <c r="L616" s="11">
        <v>102700</v>
      </c>
      <c r="M616" s="11">
        <v>0</v>
      </c>
      <c r="N616" s="11">
        <v>0</v>
      </c>
    </row>
    <row r="617" spans="1:14" x14ac:dyDescent="0.3">
      <c r="A617" s="10">
        <v>46020</v>
      </c>
      <c r="B617" t="s">
        <v>19</v>
      </c>
      <c r="C617" t="str">
        <f t="shared" si="28"/>
        <v>342856178617</v>
      </c>
      <c r="D617" t="str">
        <f t="shared" si="29"/>
        <v>Client617</v>
      </c>
      <c r="E617" t="str">
        <f t="shared" si="27"/>
        <v>BOB617</v>
      </c>
      <c r="G617" s="11"/>
      <c r="H617" s="11">
        <v>0</v>
      </c>
      <c r="I617" s="11">
        <v>0</v>
      </c>
      <c r="J617" s="11">
        <v>0</v>
      </c>
      <c r="K617" s="11">
        <v>0</v>
      </c>
      <c r="L617" s="11">
        <v>5884600</v>
      </c>
      <c r="M617" s="11">
        <v>6527300</v>
      </c>
      <c r="N617" s="11">
        <v>0</v>
      </c>
    </row>
    <row r="618" spans="1:14" x14ac:dyDescent="0.3">
      <c r="A618" s="10">
        <v>46020</v>
      </c>
      <c r="B618" t="s">
        <v>19</v>
      </c>
      <c r="C618" t="str">
        <f t="shared" si="28"/>
        <v>342856178618</v>
      </c>
      <c r="D618" t="str">
        <f t="shared" si="29"/>
        <v>Client618</v>
      </c>
      <c r="E618" t="str">
        <f t="shared" si="27"/>
        <v>BOB618</v>
      </c>
      <c r="F618" t="s">
        <v>26</v>
      </c>
      <c r="G618" s="11" t="s">
        <v>27</v>
      </c>
      <c r="H618" s="11">
        <v>0</v>
      </c>
      <c r="I618" s="11">
        <v>0</v>
      </c>
      <c r="J618" s="11">
        <v>0</v>
      </c>
      <c r="K618" s="11">
        <v>14014000</v>
      </c>
      <c r="L618" s="11">
        <v>21109100</v>
      </c>
      <c r="M618" s="11">
        <v>26903400</v>
      </c>
      <c r="N618" s="11">
        <v>0</v>
      </c>
    </row>
    <row r="619" spans="1:14" x14ac:dyDescent="0.3">
      <c r="A619" s="10">
        <v>46020</v>
      </c>
      <c r="B619" t="s">
        <v>19</v>
      </c>
      <c r="C619" t="str">
        <f t="shared" si="28"/>
        <v>342856178619</v>
      </c>
      <c r="D619" t="str">
        <f t="shared" si="29"/>
        <v>Client619</v>
      </c>
      <c r="E619" t="str">
        <f t="shared" si="27"/>
        <v>BOB619</v>
      </c>
      <c r="G619" s="11"/>
      <c r="H619" s="11">
        <v>0</v>
      </c>
      <c r="I619" s="11">
        <v>0</v>
      </c>
      <c r="J619" s="11">
        <v>0</v>
      </c>
      <c r="K619" s="11">
        <v>1801800</v>
      </c>
      <c r="L619" s="11">
        <v>7975900</v>
      </c>
      <c r="M619" s="11">
        <v>9694000</v>
      </c>
      <c r="N619" s="11">
        <v>0</v>
      </c>
    </row>
    <row r="620" spans="1:14" x14ac:dyDescent="0.3">
      <c r="A620" s="10">
        <v>46020</v>
      </c>
      <c r="B620" t="s">
        <v>19</v>
      </c>
      <c r="C620" t="str">
        <f t="shared" si="28"/>
        <v>342856178620</v>
      </c>
      <c r="D620" t="str">
        <f t="shared" si="29"/>
        <v>Client620</v>
      </c>
      <c r="E620" t="str">
        <f t="shared" si="27"/>
        <v>BOB620</v>
      </c>
      <c r="G620" s="11"/>
      <c r="H620" s="11">
        <v>0</v>
      </c>
      <c r="I620" s="11">
        <v>0</v>
      </c>
      <c r="J620" s="11">
        <v>0</v>
      </c>
      <c r="K620" s="11">
        <v>2900000</v>
      </c>
      <c r="L620" s="11">
        <v>3134700</v>
      </c>
      <c r="M620" s="11">
        <v>7026500</v>
      </c>
      <c r="N620" s="11">
        <v>0</v>
      </c>
    </row>
    <row r="621" spans="1:14" x14ac:dyDescent="0.3">
      <c r="A621" s="10">
        <v>46020</v>
      </c>
      <c r="B621" t="s">
        <v>19</v>
      </c>
      <c r="C621" t="str">
        <f t="shared" si="28"/>
        <v>342856178621</v>
      </c>
      <c r="D621" t="str">
        <f t="shared" si="29"/>
        <v>Client621</v>
      </c>
      <c r="E621" t="str">
        <f t="shared" si="27"/>
        <v>BOB621</v>
      </c>
      <c r="F621" t="s">
        <v>30</v>
      </c>
      <c r="G621" s="11" t="s">
        <v>76</v>
      </c>
      <c r="H621" s="11">
        <v>0</v>
      </c>
      <c r="I621" s="11">
        <v>0</v>
      </c>
      <c r="J621" s="11">
        <v>0</v>
      </c>
      <c r="K621" s="11">
        <v>0</v>
      </c>
      <c r="L621" s="11">
        <v>4324300</v>
      </c>
      <c r="M621" s="11">
        <v>4078500</v>
      </c>
      <c r="N621" s="11">
        <v>0</v>
      </c>
    </row>
    <row r="622" spans="1:14" x14ac:dyDescent="0.3">
      <c r="A622" s="10">
        <v>46020</v>
      </c>
      <c r="B622" t="s">
        <v>19</v>
      </c>
      <c r="C622" t="str">
        <f t="shared" si="28"/>
        <v>342856178622</v>
      </c>
      <c r="D622" t="str">
        <f t="shared" si="29"/>
        <v>Client622</v>
      </c>
      <c r="E622" t="str">
        <f t="shared" si="27"/>
        <v>BOB622</v>
      </c>
      <c r="F622" t="s">
        <v>32</v>
      </c>
      <c r="G622" s="11" t="s">
        <v>22</v>
      </c>
      <c r="H622" s="11">
        <v>0</v>
      </c>
      <c r="I622" s="11">
        <v>0</v>
      </c>
      <c r="J622" s="11">
        <v>0</v>
      </c>
      <c r="K622" s="11">
        <v>0</v>
      </c>
      <c r="L622" s="11">
        <v>0</v>
      </c>
      <c r="M622" s="11">
        <v>0</v>
      </c>
      <c r="N622" s="11">
        <v>0</v>
      </c>
    </row>
    <row r="623" spans="1:14" x14ac:dyDescent="0.3">
      <c r="A623" s="10">
        <v>46020</v>
      </c>
      <c r="B623" t="s">
        <v>19</v>
      </c>
      <c r="C623" t="str">
        <f t="shared" si="28"/>
        <v>342856178623</v>
      </c>
      <c r="D623" t="str">
        <f t="shared" si="29"/>
        <v>Client623</v>
      </c>
      <c r="E623" t="str">
        <f t="shared" si="27"/>
        <v>BOB623</v>
      </c>
      <c r="G623" s="11"/>
      <c r="H623" s="11">
        <v>0</v>
      </c>
      <c r="I623" s="11">
        <v>0</v>
      </c>
      <c r="J623" s="11">
        <v>0</v>
      </c>
      <c r="K623" s="11">
        <v>0</v>
      </c>
      <c r="L623" s="11">
        <v>606500</v>
      </c>
      <c r="M623" s="11">
        <v>732000</v>
      </c>
      <c r="N623" s="11">
        <v>0</v>
      </c>
    </row>
    <row r="624" spans="1:14" x14ac:dyDescent="0.3">
      <c r="A624" s="10">
        <v>46020</v>
      </c>
      <c r="B624" t="s">
        <v>19</v>
      </c>
      <c r="C624" t="str">
        <f t="shared" si="28"/>
        <v>342856178624</v>
      </c>
      <c r="D624" t="str">
        <f t="shared" si="29"/>
        <v>Client624</v>
      </c>
      <c r="E624" t="str">
        <f t="shared" si="27"/>
        <v>BOB624</v>
      </c>
      <c r="G624" s="11"/>
      <c r="H624" s="11">
        <v>0</v>
      </c>
      <c r="I624" s="11">
        <v>0</v>
      </c>
      <c r="J624" s="11">
        <v>0</v>
      </c>
      <c r="K624" s="11">
        <v>0</v>
      </c>
      <c r="L624" s="11">
        <v>126700</v>
      </c>
      <c r="M624" s="11">
        <v>341500</v>
      </c>
      <c r="N624" s="11">
        <v>0</v>
      </c>
    </row>
    <row r="625" spans="1:14" x14ac:dyDescent="0.3">
      <c r="A625" s="10">
        <v>46020</v>
      </c>
      <c r="B625" t="s">
        <v>19</v>
      </c>
      <c r="C625" t="str">
        <f t="shared" si="28"/>
        <v>342856178625</v>
      </c>
      <c r="D625" t="str">
        <f t="shared" si="29"/>
        <v>Client625</v>
      </c>
      <c r="E625" t="str">
        <f t="shared" si="27"/>
        <v>BOB625</v>
      </c>
      <c r="F625" t="s">
        <v>21</v>
      </c>
      <c r="G625" s="11" t="s">
        <v>22</v>
      </c>
      <c r="H625" s="11">
        <v>0</v>
      </c>
      <c r="I625" s="11">
        <v>20030000</v>
      </c>
      <c r="J625" s="11">
        <v>0</v>
      </c>
      <c r="K625" s="11">
        <v>0</v>
      </c>
      <c r="L625" s="11">
        <v>51685700</v>
      </c>
      <c r="M625" s="11">
        <v>70539200</v>
      </c>
      <c r="N625" s="11">
        <v>0</v>
      </c>
    </row>
    <row r="626" spans="1:14" x14ac:dyDescent="0.3">
      <c r="A626" s="10">
        <v>46020</v>
      </c>
      <c r="B626" t="s">
        <v>19</v>
      </c>
      <c r="C626" t="str">
        <f t="shared" si="28"/>
        <v>342856178626</v>
      </c>
      <c r="D626" t="str">
        <f t="shared" si="29"/>
        <v>Client626</v>
      </c>
      <c r="E626" t="str">
        <f t="shared" si="27"/>
        <v>BOB626</v>
      </c>
      <c r="F626" t="s">
        <v>32</v>
      </c>
      <c r="G626" s="11" t="s">
        <v>22</v>
      </c>
      <c r="H626" s="11">
        <v>0</v>
      </c>
      <c r="I626" s="11">
        <v>0</v>
      </c>
      <c r="J626" s="11">
        <v>2850000</v>
      </c>
      <c r="K626" s="11">
        <v>1890000</v>
      </c>
      <c r="L626" s="11">
        <v>5361900</v>
      </c>
      <c r="M626" s="11">
        <v>4367500</v>
      </c>
      <c r="N626" s="11">
        <v>0</v>
      </c>
    </row>
    <row r="627" spans="1:14" x14ac:dyDescent="0.3">
      <c r="A627" s="10">
        <v>46020</v>
      </c>
      <c r="B627" t="s">
        <v>19</v>
      </c>
      <c r="C627" t="str">
        <f t="shared" si="28"/>
        <v>342856178627</v>
      </c>
      <c r="D627" t="str">
        <f t="shared" si="29"/>
        <v>Client627</v>
      </c>
      <c r="E627" t="str">
        <f t="shared" si="27"/>
        <v>BOB627</v>
      </c>
      <c r="G627" s="11"/>
      <c r="H627" s="11">
        <v>0</v>
      </c>
      <c r="I627" s="11">
        <v>0</v>
      </c>
      <c r="J627" s="11">
        <v>0</v>
      </c>
      <c r="K627" s="11">
        <v>700000</v>
      </c>
      <c r="L627" s="11">
        <v>1590800</v>
      </c>
      <c r="M627" s="11">
        <v>2098000</v>
      </c>
      <c r="N627" s="11">
        <v>0</v>
      </c>
    </row>
    <row r="628" spans="1:14" x14ac:dyDescent="0.3">
      <c r="A628" s="10">
        <v>46020</v>
      </c>
      <c r="B628" t="s">
        <v>19</v>
      </c>
      <c r="C628" t="str">
        <f t="shared" si="28"/>
        <v>342856178628</v>
      </c>
      <c r="D628" t="str">
        <f t="shared" si="29"/>
        <v>Client628</v>
      </c>
      <c r="E628" t="str">
        <f t="shared" si="27"/>
        <v>BOB628</v>
      </c>
      <c r="G628" s="11"/>
      <c r="H628" s="11">
        <v>0</v>
      </c>
      <c r="I628" s="11">
        <v>0</v>
      </c>
      <c r="J628" s="11">
        <v>0</v>
      </c>
      <c r="K628" s="11">
        <v>0</v>
      </c>
      <c r="L628" s="11">
        <v>0</v>
      </c>
      <c r="M628" s="11">
        <v>0</v>
      </c>
      <c r="N628" s="11">
        <v>0</v>
      </c>
    </row>
    <row r="629" spans="1:14" x14ac:dyDescent="0.3">
      <c r="A629" s="10">
        <v>46020</v>
      </c>
      <c r="B629" t="s">
        <v>19</v>
      </c>
      <c r="C629" t="str">
        <f t="shared" si="28"/>
        <v>342856178629</v>
      </c>
      <c r="D629" t="str">
        <f t="shared" si="29"/>
        <v>Client629</v>
      </c>
      <c r="E629" t="str">
        <f t="shared" si="27"/>
        <v>BOB629</v>
      </c>
      <c r="F629" t="s">
        <v>68</v>
      </c>
      <c r="G629" s="11" t="s">
        <v>91</v>
      </c>
      <c r="H629" s="11">
        <v>0</v>
      </c>
      <c r="I629" s="11">
        <v>0</v>
      </c>
      <c r="J629" s="11">
        <v>0</v>
      </c>
      <c r="K629" s="11">
        <v>5030000</v>
      </c>
      <c r="L629" s="11">
        <v>2223600</v>
      </c>
      <c r="M629" s="11">
        <v>9451000</v>
      </c>
      <c r="N629" s="11">
        <v>0</v>
      </c>
    </row>
    <row r="630" spans="1:14" x14ac:dyDescent="0.3">
      <c r="A630" s="10">
        <v>46020</v>
      </c>
      <c r="B630" t="s">
        <v>19</v>
      </c>
      <c r="C630" t="str">
        <f t="shared" si="28"/>
        <v>342856178630</v>
      </c>
      <c r="D630" t="str">
        <f t="shared" si="29"/>
        <v>Client630</v>
      </c>
      <c r="E630" t="str">
        <f t="shared" si="27"/>
        <v>BOB630</v>
      </c>
      <c r="F630" t="s">
        <v>30</v>
      </c>
      <c r="G630" s="11" t="s">
        <v>76</v>
      </c>
      <c r="H630" s="11">
        <v>0</v>
      </c>
      <c r="I630" s="11">
        <v>0</v>
      </c>
      <c r="J630" s="11">
        <v>0</v>
      </c>
      <c r="K630" s="11">
        <v>0</v>
      </c>
      <c r="L630" s="11">
        <v>0</v>
      </c>
      <c r="M630" s="11">
        <v>0</v>
      </c>
      <c r="N630" s="11">
        <v>0</v>
      </c>
    </row>
    <row r="631" spans="1:14" x14ac:dyDescent="0.3">
      <c r="A631" s="10">
        <v>46020</v>
      </c>
      <c r="B631" t="s">
        <v>19</v>
      </c>
      <c r="C631" t="str">
        <f t="shared" si="28"/>
        <v>342856178631</v>
      </c>
      <c r="D631" t="str">
        <f t="shared" si="29"/>
        <v>Client631</v>
      </c>
      <c r="E631" t="str">
        <f t="shared" si="27"/>
        <v>BOB631</v>
      </c>
      <c r="F631" t="s">
        <v>32</v>
      </c>
      <c r="G631" s="11" t="s">
        <v>22</v>
      </c>
      <c r="H631" s="11">
        <v>5000000</v>
      </c>
      <c r="I631" s="11">
        <v>500000</v>
      </c>
      <c r="J631" s="11">
        <v>0</v>
      </c>
      <c r="K631" s="11">
        <v>0</v>
      </c>
      <c r="L631" s="11">
        <v>22050100</v>
      </c>
      <c r="M631" s="11">
        <v>22129200</v>
      </c>
      <c r="N631" s="11">
        <v>0</v>
      </c>
    </row>
    <row r="632" spans="1:14" x14ac:dyDescent="0.3">
      <c r="A632" s="10">
        <v>46020</v>
      </c>
      <c r="B632" t="s">
        <v>19</v>
      </c>
      <c r="C632" t="str">
        <f t="shared" si="28"/>
        <v>342856178632</v>
      </c>
      <c r="D632" t="str">
        <f t="shared" si="29"/>
        <v>Client632</v>
      </c>
      <c r="E632" t="str">
        <f t="shared" si="27"/>
        <v>BOB632</v>
      </c>
      <c r="F632" t="s">
        <v>32</v>
      </c>
      <c r="G632" s="11" t="s">
        <v>22</v>
      </c>
      <c r="H632" s="11">
        <v>0</v>
      </c>
      <c r="I632" s="11">
        <v>0</v>
      </c>
      <c r="J632" s="11">
        <v>0</v>
      </c>
      <c r="K632" s="11">
        <v>0</v>
      </c>
      <c r="L632" s="11">
        <v>8243200</v>
      </c>
      <c r="M632" s="11">
        <v>8552400</v>
      </c>
      <c r="N632" s="11">
        <v>0</v>
      </c>
    </row>
    <row r="633" spans="1:14" x14ac:dyDescent="0.3">
      <c r="A633" s="10">
        <v>46020</v>
      </c>
      <c r="B633" t="s">
        <v>19</v>
      </c>
      <c r="C633" t="str">
        <f t="shared" si="28"/>
        <v>342856178633</v>
      </c>
      <c r="D633" t="str">
        <f t="shared" si="29"/>
        <v>Client633</v>
      </c>
      <c r="E633" t="str">
        <f t="shared" si="27"/>
        <v>BOB633</v>
      </c>
      <c r="F633" t="s">
        <v>21</v>
      </c>
      <c r="G633" s="11" t="s">
        <v>22</v>
      </c>
      <c r="H633" s="11">
        <v>0</v>
      </c>
      <c r="I633" s="11">
        <v>0</v>
      </c>
      <c r="J633" s="11">
        <v>0</v>
      </c>
      <c r="K633" s="11">
        <v>0</v>
      </c>
      <c r="L633" s="11">
        <v>12347400</v>
      </c>
      <c r="M633" s="11">
        <v>12718200</v>
      </c>
      <c r="N633" s="11">
        <v>0</v>
      </c>
    </row>
    <row r="634" spans="1:14" x14ac:dyDescent="0.3">
      <c r="A634" s="10">
        <v>46020</v>
      </c>
      <c r="B634" t="s">
        <v>19</v>
      </c>
      <c r="C634" t="str">
        <f t="shared" si="28"/>
        <v>342856178634</v>
      </c>
      <c r="D634" t="str">
        <f t="shared" si="29"/>
        <v>Client634</v>
      </c>
      <c r="E634" t="str">
        <f t="shared" si="27"/>
        <v>BOB634</v>
      </c>
      <c r="F634" t="s">
        <v>24</v>
      </c>
      <c r="G634" s="11" t="s">
        <v>99</v>
      </c>
      <c r="H634" s="11">
        <v>0</v>
      </c>
      <c r="I634" s="11">
        <v>0</v>
      </c>
      <c r="J634" s="11">
        <v>0</v>
      </c>
      <c r="K634" s="11">
        <v>0</v>
      </c>
      <c r="L634" s="11">
        <v>0</v>
      </c>
      <c r="M634" s="11">
        <v>0</v>
      </c>
      <c r="N634" s="11">
        <v>0</v>
      </c>
    </row>
    <row r="635" spans="1:14" x14ac:dyDescent="0.3">
      <c r="A635" s="10">
        <v>46020</v>
      </c>
      <c r="B635" t="s">
        <v>19</v>
      </c>
      <c r="C635" t="str">
        <f t="shared" si="28"/>
        <v>342856178635</v>
      </c>
      <c r="D635" t="str">
        <f t="shared" si="29"/>
        <v>Client635</v>
      </c>
      <c r="E635" t="str">
        <f t="shared" si="27"/>
        <v>BOB635</v>
      </c>
      <c r="G635" s="11"/>
      <c r="H635" s="11">
        <v>0</v>
      </c>
      <c r="I635" s="11">
        <v>0</v>
      </c>
      <c r="J635" s="11">
        <v>0</v>
      </c>
      <c r="K635" s="11">
        <v>0</v>
      </c>
      <c r="L635" s="11">
        <v>2508000</v>
      </c>
      <c r="M635" s="11">
        <v>2535900</v>
      </c>
      <c r="N635" s="11">
        <v>0</v>
      </c>
    </row>
    <row r="636" spans="1:14" x14ac:dyDescent="0.3">
      <c r="A636" s="10">
        <v>46020</v>
      </c>
      <c r="B636" t="s">
        <v>19</v>
      </c>
      <c r="C636" t="str">
        <f t="shared" si="28"/>
        <v>342856178636</v>
      </c>
      <c r="D636" t="str">
        <f t="shared" si="29"/>
        <v>Client636</v>
      </c>
      <c r="E636" t="str">
        <f t="shared" si="27"/>
        <v>BOB636</v>
      </c>
      <c r="F636" t="s">
        <v>21</v>
      </c>
      <c r="G636" s="11" t="s">
        <v>22</v>
      </c>
      <c r="H636" s="11">
        <v>0</v>
      </c>
      <c r="I636" s="11">
        <v>0</v>
      </c>
      <c r="J636" s="11">
        <v>23000000</v>
      </c>
      <c r="K636" s="11">
        <v>0</v>
      </c>
      <c r="L636" s="11">
        <v>50664700</v>
      </c>
      <c r="M636" s="11">
        <v>21168500</v>
      </c>
      <c r="N636" s="11">
        <v>0</v>
      </c>
    </row>
    <row r="637" spans="1:14" x14ac:dyDescent="0.3">
      <c r="A637" s="10">
        <v>46020</v>
      </c>
      <c r="B637" t="s">
        <v>19</v>
      </c>
      <c r="C637" t="str">
        <f t="shared" si="28"/>
        <v>342856178637</v>
      </c>
      <c r="D637" t="str">
        <f t="shared" si="29"/>
        <v>Client637</v>
      </c>
      <c r="E637" t="str">
        <f t="shared" si="27"/>
        <v>BOB637</v>
      </c>
      <c r="F637" t="s">
        <v>26</v>
      </c>
      <c r="G637" s="11" t="s">
        <v>27</v>
      </c>
      <c r="H637" s="11">
        <v>0</v>
      </c>
      <c r="I637" s="11">
        <v>0</v>
      </c>
      <c r="J637" s="11">
        <v>0</v>
      </c>
      <c r="K637" s="11">
        <v>0</v>
      </c>
      <c r="L637" s="11">
        <v>13709500</v>
      </c>
      <c r="M637" s="11">
        <v>14096800</v>
      </c>
      <c r="N637" s="11">
        <v>0</v>
      </c>
    </row>
    <row r="638" spans="1:14" x14ac:dyDescent="0.3">
      <c r="A638" s="10">
        <v>46020</v>
      </c>
      <c r="B638" t="s">
        <v>19</v>
      </c>
      <c r="C638" t="str">
        <f t="shared" si="28"/>
        <v>342856178638</v>
      </c>
      <c r="D638" t="str">
        <f t="shared" si="29"/>
        <v>Client638</v>
      </c>
      <c r="E638" t="str">
        <f t="shared" si="27"/>
        <v>BOB638</v>
      </c>
      <c r="F638" t="s">
        <v>24</v>
      </c>
      <c r="G638" s="11" t="s">
        <v>22</v>
      </c>
      <c r="H638" s="11">
        <v>0</v>
      </c>
      <c r="I638" s="11">
        <v>0</v>
      </c>
      <c r="J638" s="11">
        <v>4000000</v>
      </c>
      <c r="K638" s="11">
        <v>0</v>
      </c>
      <c r="L638" s="11">
        <v>3330000</v>
      </c>
      <c r="M638" s="11">
        <v>0</v>
      </c>
      <c r="N638" s="11">
        <v>0</v>
      </c>
    </row>
    <row r="639" spans="1:14" x14ac:dyDescent="0.3">
      <c r="A639" s="10">
        <v>46020</v>
      </c>
      <c r="B639" t="s">
        <v>19</v>
      </c>
      <c r="C639" t="str">
        <f t="shared" si="28"/>
        <v>342856178639</v>
      </c>
      <c r="D639" t="str">
        <f t="shared" si="29"/>
        <v>Client639</v>
      </c>
      <c r="E639" t="str">
        <f t="shared" si="27"/>
        <v>BOB639</v>
      </c>
      <c r="G639" s="11"/>
      <c r="H639" s="11">
        <v>0</v>
      </c>
      <c r="I639" s="11">
        <v>0</v>
      </c>
      <c r="J639" s="11">
        <v>0</v>
      </c>
      <c r="K639" s="11">
        <v>0</v>
      </c>
      <c r="L639" s="11">
        <v>3025600</v>
      </c>
      <c r="M639" s="11">
        <v>3128500</v>
      </c>
      <c r="N639" s="11">
        <v>0</v>
      </c>
    </row>
    <row r="640" spans="1:14" x14ac:dyDescent="0.3">
      <c r="A640" s="10">
        <v>46020</v>
      </c>
      <c r="B640" t="s">
        <v>19</v>
      </c>
      <c r="C640" t="str">
        <f t="shared" si="28"/>
        <v>342856178640</v>
      </c>
      <c r="D640" t="str">
        <f t="shared" si="29"/>
        <v>Client640</v>
      </c>
      <c r="E640" t="str">
        <f t="shared" si="27"/>
        <v>BOB640</v>
      </c>
      <c r="F640" t="s">
        <v>24</v>
      </c>
      <c r="G640" s="11" t="s">
        <v>88</v>
      </c>
      <c r="H640" s="11">
        <v>0</v>
      </c>
      <c r="I640" s="11">
        <v>0</v>
      </c>
      <c r="J640" s="11">
        <v>0</v>
      </c>
      <c r="K640" s="11">
        <v>0</v>
      </c>
      <c r="L640" s="11">
        <v>14747500</v>
      </c>
      <c r="M640" s="11">
        <v>14411600</v>
      </c>
      <c r="N640" s="11">
        <v>0</v>
      </c>
    </row>
    <row r="641" spans="1:14" x14ac:dyDescent="0.3">
      <c r="A641" s="10">
        <v>46020</v>
      </c>
      <c r="B641" t="s">
        <v>19</v>
      </c>
      <c r="C641" t="str">
        <f t="shared" si="28"/>
        <v>342856178641</v>
      </c>
      <c r="D641" t="str">
        <f t="shared" si="29"/>
        <v>Client641</v>
      </c>
      <c r="E641" t="str">
        <f t="shared" si="27"/>
        <v>BOB641</v>
      </c>
      <c r="F641" t="s">
        <v>24</v>
      </c>
      <c r="G641" s="11" t="s">
        <v>22</v>
      </c>
      <c r="H641" s="11">
        <v>0</v>
      </c>
      <c r="I641" s="11">
        <v>0</v>
      </c>
      <c r="J641" s="11">
        <v>0</v>
      </c>
      <c r="K641" s="11">
        <v>900000</v>
      </c>
      <c r="L641" s="11">
        <v>3533600</v>
      </c>
      <c r="M641" s="11">
        <v>4052900</v>
      </c>
      <c r="N641" s="11">
        <v>0</v>
      </c>
    </row>
    <row r="642" spans="1:14" x14ac:dyDescent="0.3">
      <c r="A642" s="10">
        <v>46020</v>
      </c>
      <c r="B642" t="s">
        <v>19</v>
      </c>
      <c r="C642" t="str">
        <f t="shared" si="28"/>
        <v>342856178642</v>
      </c>
      <c r="D642" t="str">
        <f t="shared" si="29"/>
        <v>Client642</v>
      </c>
      <c r="E642" t="str">
        <f t="shared" si="27"/>
        <v>BOB642</v>
      </c>
      <c r="F642" t="s">
        <v>68</v>
      </c>
      <c r="G642" s="11" t="s">
        <v>69</v>
      </c>
      <c r="H642" s="11">
        <v>0</v>
      </c>
      <c r="I642" s="11">
        <v>0</v>
      </c>
      <c r="J642" s="11">
        <v>0</v>
      </c>
      <c r="K642" s="11">
        <v>0</v>
      </c>
      <c r="L642" s="11">
        <v>100000</v>
      </c>
      <c r="M642" s="11">
        <v>0</v>
      </c>
      <c r="N642" s="11">
        <v>0</v>
      </c>
    </row>
    <row r="643" spans="1:14" x14ac:dyDescent="0.3">
      <c r="A643" s="10">
        <v>46020</v>
      </c>
      <c r="B643" t="s">
        <v>19</v>
      </c>
      <c r="C643" t="str">
        <f t="shared" si="28"/>
        <v>342856178643</v>
      </c>
      <c r="D643" t="str">
        <f t="shared" si="29"/>
        <v>Client643</v>
      </c>
      <c r="E643" t="str">
        <f t="shared" ref="E643:E706" si="30">"BOB"&amp;ROW()</f>
        <v>BOB643</v>
      </c>
      <c r="F643" t="s">
        <v>26</v>
      </c>
      <c r="G643" s="11" t="s">
        <v>27</v>
      </c>
      <c r="H643" s="11">
        <v>0</v>
      </c>
      <c r="I643" s="11">
        <v>0</v>
      </c>
      <c r="J643" s="11">
        <v>0</v>
      </c>
      <c r="K643" s="11">
        <v>0</v>
      </c>
      <c r="L643" s="11">
        <v>12971200</v>
      </c>
      <c r="M643" s="11">
        <v>7274000</v>
      </c>
      <c r="N643" s="11">
        <v>3000000</v>
      </c>
    </row>
    <row r="644" spans="1:14" x14ac:dyDescent="0.3">
      <c r="A644" s="10">
        <v>46020</v>
      </c>
      <c r="B644" t="s">
        <v>19</v>
      </c>
      <c r="C644" t="str">
        <f t="shared" ref="C644:C707" si="31" xml:space="preserve"> "342856178" &amp; ROW()</f>
        <v>342856178644</v>
      </c>
      <c r="D644" t="str">
        <f t="shared" ref="D644:D707" si="32">"Client"  &amp; ROW()</f>
        <v>Client644</v>
      </c>
      <c r="E644" t="str">
        <f t="shared" si="30"/>
        <v>BOB644</v>
      </c>
      <c r="G644" s="11"/>
      <c r="H644" s="11">
        <v>0</v>
      </c>
      <c r="I644" s="11">
        <v>0</v>
      </c>
      <c r="J644" s="11">
        <v>200000</v>
      </c>
      <c r="K644" s="11">
        <v>2290000</v>
      </c>
      <c r="L644" s="11">
        <v>3747700</v>
      </c>
      <c r="M644" s="11">
        <v>4314100</v>
      </c>
      <c r="N644" s="11">
        <v>0</v>
      </c>
    </row>
    <row r="645" spans="1:14" x14ac:dyDescent="0.3">
      <c r="A645" s="10">
        <v>46020</v>
      </c>
      <c r="B645" t="s">
        <v>19</v>
      </c>
      <c r="C645" t="str">
        <f t="shared" si="31"/>
        <v>342856178645</v>
      </c>
      <c r="D645" t="str">
        <f t="shared" si="32"/>
        <v>Client645</v>
      </c>
      <c r="E645" t="str">
        <f t="shared" si="30"/>
        <v>BOB645</v>
      </c>
      <c r="F645" t="s">
        <v>21</v>
      </c>
      <c r="G645" s="11" t="s">
        <v>22</v>
      </c>
      <c r="H645" s="11">
        <v>0</v>
      </c>
      <c r="I645" s="11">
        <v>0</v>
      </c>
      <c r="J645" s="11">
        <v>0</v>
      </c>
      <c r="K645" s="11">
        <v>0</v>
      </c>
      <c r="L645" s="11">
        <v>15331600</v>
      </c>
      <c r="M645" s="11">
        <v>14910600</v>
      </c>
      <c r="N645" s="11">
        <v>0</v>
      </c>
    </row>
    <row r="646" spans="1:14" x14ac:dyDescent="0.3">
      <c r="A646" s="10">
        <v>46020</v>
      </c>
      <c r="B646" t="s">
        <v>19</v>
      </c>
      <c r="C646" t="str">
        <f t="shared" si="31"/>
        <v>342856178646</v>
      </c>
      <c r="D646" t="str">
        <f t="shared" si="32"/>
        <v>Client646</v>
      </c>
      <c r="E646" t="str">
        <f t="shared" si="30"/>
        <v>BOB646</v>
      </c>
      <c r="F646" t="s">
        <v>26</v>
      </c>
      <c r="G646" s="11" t="s">
        <v>27</v>
      </c>
      <c r="H646" s="11">
        <v>0</v>
      </c>
      <c r="I646" s="11">
        <v>0</v>
      </c>
      <c r="J646" s="11">
        <v>0</v>
      </c>
      <c r="K646" s="11">
        <v>2002000</v>
      </c>
      <c r="L646" s="11">
        <v>26540400</v>
      </c>
      <c r="M646" s="11">
        <v>30588700</v>
      </c>
      <c r="N646" s="11">
        <v>0</v>
      </c>
    </row>
    <row r="647" spans="1:14" x14ac:dyDescent="0.3">
      <c r="A647" s="10">
        <v>46020</v>
      </c>
      <c r="B647" t="s">
        <v>19</v>
      </c>
      <c r="C647" t="str">
        <f t="shared" si="31"/>
        <v>342856178647</v>
      </c>
      <c r="D647" t="str">
        <f t="shared" si="32"/>
        <v>Client647</v>
      </c>
      <c r="E647" t="str">
        <f t="shared" si="30"/>
        <v>BOB647</v>
      </c>
      <c r="F647" t="s">
        <v>68</v>
      </c>
      <c r="G647" s="11" t="s">
        <v>22</v>
      </c>
      <c r="H647" s="11">
        <v>0</v>
      </c>
      <c r="I647" s="11">
        <v>0</v>
      </c>
      <c r="J647" s="11">
        <v>0</v>
      </c>
      <c r="K647" s="11">
        <v>0</v>
      </c>
      <c r="L647" s="11">
        <v>0</v>
      </c>
      <c r="M647" s="11">
        <v>0</v>
      </c>
      <c r="N647" s="11">
        <v>0</v>
      </c>
    </row>
    <row r="648" spans="1:14" x14ac:dyDescent="0.3">
      <c r="A648" s="10">
        <v>46020</v>
      </c>
      <c r="B648" t="s">
        <v>19</v>
      </c>
      <c r="C648" t="str">
        <f t="shared" si="31"/>
        <v>342856178648</v>
      </c>
      <c r="D648" t="str">
        <f t="shared" si="32"/>
        <v>Client648</v>
      </c>
      <c r="E648" t="str">
        <f t="shared" si="30"/>
        <v>BOB648</v>
      </c>
      <c r="F648" t="s">
        <v>24</v>
      </c>
      <c r="G648" s="11" t="s">
        <v>22</v>
      </c>
      <c r="H648" s="11">
        <v>0</v>
      </c>
      <c r="I648" s="11">
        <v>0</v>
      </c>
      <c r="J648" s="11">
        <v>0</v>
      </c>
      <c r="K648" s="11">
        <v>100000</v>
      </c>
      <c r="L648" s="11">
        <v>745800</v>
      </c>
      <c r="M648" s="11">
        <v>765600</v>
      </c>
      <c r="N648" s="11">
        <v>0</v>
      </c>
    </row>
    <row r="649" spans="1:14" x14ac:dyDescent="0.3">
      <c r="A649" s="10">
        <v>46020</v>
      </c>
      <c r="B649" t="s">
        <v>19</v>
      </c>
      <c r="C649" t="str">
        <f t="shared" si="31"/>
        <v>342856178649</v>
      </c>
      <c r="D649" t="str">
        <f t="shared" si="32"/>
        <v>Client649</v>
      </c>
      <c r="E649" t="str">
        <f t="shared" si="30"/>
        <v>BOB649</v>
      </c>
      <c r="F649" t="s">
        <v>30</v>
      </c>
      <c r="G649" s="11" t="s">
        <v>76</v>
      </c>
      <c r="H649" s="11">
        <v>0</v>
      </c>
      <c r="I649" s="11">
        <v>0</v>
      </c>
      <c r="J649" s="11">
        <v>0</v>
      </c>
      <c r="K649" s="11">
        <v>0</v>
      </c>
      <c r="L649" s="11">
        <v>304400</v>
      </c>
      <c r="M649" s="11">
        <v>302000</v>
      </c>
      <c r="N649" s="11">
        <v>0</v>
      </c>
    </row>
    <row r="650" spans="1:14" x14ac:dyDescent="0.3">
      <c r="A650" s="10">
        <v>46020</v>
      </c>
      <c r="B650" t="s">
        <v>19</v>
      </c>
      <c r="C650" t="str">
        <f t="shared" si="31"/>
        <v>342856178650</v>
      </c>
      <c r="D650" t="str">
        <f t="shared" si="32"/>
        <v>Client650</v>
      </c>
      <c r="E650" t="str">
        <f t="shared" si="30"/>
        <v>BOB650</v>
      </c>
      <c r="F650" t="s">
        <v>32</v>
      </c>
      <c r="G650" s="11" t="s">
        <v>22</v>
      </c>
      <c r="H650" s="11">
        <v>0</v>
      </c>
      <c r="I650" s="11">
        <v>0</v>
      </c>
      <c r="J650" s="11">
        <v>0</v>
      </c>
      <c r="K650" s="11">
        <v>0</v>
      </c>
      <c r="L650" s="11">
        <v>3710800</v>
      </c>
      <c r="M650" s="11">
        <v>3867100</v>
      </c>
      <c r="N650" s="11">
        <v>0</v>
      </c>
    </row>
    <row r="651" spans="1:14" x14ac:dyDescent="0.3">
      <c r="A651" s="10">
        <v>46020</v>
      </c>
      <c r="B651" t="s">
        <v>19</v>
      </c>
      <c r="C651" t="str">
        <f t="shared" si="31"/>
        <v>342856178651</v>
      </c>
      <c r="D651" t="str">
        <f t="shared" si="32"/>
        <v>Client651</v>
      </c>
      <c r="E651" t="str">
        <f t="shared" si="30"/>
        <v>BOB651</v>
      </c>
      <c r="F651" t="s">
        <v>32</v>
      </c>
      <c r="G651" s="11" t="s">
        <v>22</v>
      </c>
      <c r="H651" s="11">
        <v>0</v>
      </c>
      <c r="I651" s="11">
        <v>107081000</v>
      </c>
      <c r="J651" s="11">
        <v>115981100</v>
      </c>
      <c r="K651" s="11">
        <v>11303700</v>
      </c>
      <c r="L651" s="11">
        <v>1520900</v>
      </c>
      <c r="M651" s="11">
        <v>3566000</v>
      </c>
      <c r="N651" s="11">
        <v>0</v>
      </c>
    </row>
    <row r="652" spans="1:14" x14ac:dyDescent="0.3">
      <c r="A652" s="10">
        <v>46020</v>
      </c>
      <c r="B652" t="s">
        <v>19</v>
      </c>
      <c r="C652" t="str">
        <f t="shared" si="31"/>
        <v>342856178652</v>
      </c>
      <c r="D652" t="str">
        <f t="shared" si="32"/>
        <v>Client652</v>
      </c>
      <c r="E652" t="str">
        <f t="shared" si="30"/>
        <v>BOB652</v>
      </c>
      <c r="G652" s="11"/>
      <c r="H652" s="11">
        <v>0</v>
      </c>
      <c r="I652" s="11">
        <v>300000</v>
      </c>
      <c r="J652" s="11">
        <v>300000</v>
      </c>
      <c r="K652" s="11">
        <v>0</v>
      </c>
      <c r="L652" s="11">
        <v>295000</v>
      </c>
      <c r="M652" s="11">
        <v>390000</v>
      </c>
      <c r="N652" s="11">
        <v>0</v>
      </c>
    </row>
    <row r="653" spans="1:14" x14ac:dyDescent="0.3">
      <c r="A653" s="10">
        <v>46020</v>
      </c>
      <c r="B653" t="s">
        <v>19</v>
      </c>
      <c r="C653" t="str">
        <f t="shared" si="31"/>
        <v>342856178653</v>
      </c>
      <c r="D653" t="str">
        <f t="shared" si="32"/>
        <v>Client653</v>
      </c>
      <c r="E653" t="str">
        <f t="shared" si="30"/>
        <v>BOB653</v>
      </c>
      <c r="F653" t="s">
        <v>32</v>
      </c>
      <c r="G653" s="11" t="s">
        <v>22</v>
      </c>
      <c r="H653" s="11">
        <v>0</v>
      </c>
      <c r="I653" s="11">
        <v>302000</v>
      </c>
      <c r="J653" s="11">
        <v>0</v>
      </c>
      <c r="K653" s="11">
        <v>0</v>
      </c>
      <c r="L653" s="11">
        <v>6560700</v>
      </c>
      <c r="M653" s="11">
        <v>8728800</v>
      </c>
      <c r="N653" s="11">
        <v>0</v>
      </c>
    </row>
    <row r="654" spans="1:14" x14ac:dyDescent="0.3">
      <c r="A654" s="10">
        <v>46020</v>
      </c>
      <c r="B654" t="s">
        <v>19</v>
      </c>
      <c r="C654" t="str">
        <f t="shared" si="31"/>
        <v>342856178654</v>
      </c>
      <c r="D654" t="str">
        <f t="shared" si="32"/>
        <v>Client654</v>
      </c>
      <c r="E654" t="str">
        <f t="shared" si="30"/>
        <v>BOB654</v>
      </c>
      <c r="G654" s="11"/>
      <c r="H654" s="11">
        <v>0</v>
      </c>
      <c r="I654" s="11">
        <v>13019500</v>
      </c>
      <c r="J654" s="11">
        <v>0</v>
      </c>
      <c r="K654" s="11">
        <v>0</v>
      </c>
      <c r="L654" s="11">
        <v>783500</v>
      </c>
      <c r="M654" s="11">
        <v>4910000</v>
      </c>
      <c r="N654" s="11">
        <v>0</v>
      </c>
    </row>
    <row r="655" spans="1:14" x14ac:dyDescent="0.3">
      <c r="A655" s="10">
        <v>46020</v>
      </c>
      <c r="B655" t="s">
        <v>19</v>
      </c>
      <c r="C655" t="str">
        <f t="shared" si="31"/>
        <v>342856178655</v>
      </c>
      <c r="D655" t="str">
        <f t="shared" si="32"/>
        <v>Client655</v>
      </c>
      <c r="E655" t="str">
        <f t="shared" si="30"/>
        <v>BOB655</v>
      </c>
      <c r="F655" t="s">
        <v>68</v>
      </c>
      <c r="G655" s="11" t="s">
        <v>22</v>
      </c>
      <c r="H655" s="11">
        <v>0</v>
      </c>
      <c r="I655" s="11">
        <v>0</v>
      </c>
      <c r="J655" s="11">
        <v>38750000</v>
      </c>
      <c r="K655" s="11">
        <v>1000000</v>
      </c>
      <c r="L655" s="11">
        <v>38540800</v>
      </c>
      <c r="M655" s="11">
        <v>0</v>
      </c>
      <c r="N655" s="11">
        <v>0</v>
      </c>
    </row>
    <row r="656" spans="1:14" x14ac:dyDescent="0.3">
      <c r="A656" s="10">
        <v>46020</v>
      </c>
      <c r="B656" t="s">
        <v>19</v>
      </c>
      <c r="C656" t="str">
        <f t="shared" si="31"/>
        <v>342856178656</v>
      </c>
      <c r="D656" t="str">
        <f t="shared" si="32"/>
        <v>Client656</v>
      </c>
      <c r="E656" t="str">
        <f t="shared" si="30"/>
        <v>BOB656</v>
      </c>
      <c r="F656" t="s">
        <v>30</v>
      </c>
      <c r="G656" s="11" t="s">
        <v>83</v>
      </c>
      <c r="H656" s="11">
        <v>0</v>
      </c>
      <c r="I656" s="11">
        <v>0</v>
      </c>
      <c r="J656" s="11">
        <v>0</v>
      </c>
      <c r="K656" s="11">
        <v>0</v>
      </c>
      <c r="L656" s="11">
        <v>77400</v>
      </c>
      <c r="M656" s="11">
        <v>18900</v>
      </c>
      <c r="N656" s="11">
        <v>0</v>
      </c>
    </row>
    <row r="657" spans="1:14" x14ac:dyDescent="0.3">
      <c r="A657" s="10">
        <v>46020</v>
      </c>
      <c r="B657" t="s">
        <v>19</v>
      </c>
      <c r="C657" t="str">
        <f t="shared" si="31"/>
        <v>342856178657</v>
      </c>
      <c r="D657" t="str">
        <f t="shared" si="32"/>
        <v>Client657</v>
      </c>
      <c r="E657" t="str">
        <f t="shared" si="30"/>
        <v>BOB657</v>
      </c>
      <c r="F657" t="s">
        <v>21</v>
      </c>
      <c r="G657" s="11" t="s">
        <v>22</v>
      </c>
      <c r="H657" s="11">
        <v>0</v>
      </c>
      <c r="I657" s="11">
        <v>0</v>
      </c>
      <c r="J657" s="11">
        <v>0</v>
      </c>
      <c r="K657" s="11">
        <v>0</v>
      </c>
      <c r="L657" s="11">
        <v>0</v>
      </c>
      <c r="M657" s="11">
        <v>0</v>
      </c>
      <c r="N657" s="11">
        <v>0</v>
      </c>
    </row>
    <row r="658" spans="1:14" x14ac:dyDescent="0.3">
      <c r="A658" s="10">
        <v>46020</v>
      </c>
      <c r="B658" t="s">
        <v>19</v>
      </c>
      <c r="C658" t="str">
        <f t="shared" si="31"/>
        <v>342856178658</v>
      </c>
      <c r="D658" t="str">
        <f t="shared" si="32"/>
        <v>Client658</v>
      </c>
      <c r="E658" t="str">
        <f t="shared" si="30"/>
        <v>BOB658</v>
      </c>
      <c r="F658" t="s">
        <v>21</v>
      </c>
      <c r="G658" s="11" t="s">
        <v>22</v>
      </c>
      <c r="H658" s="11">
        <v>0</v>
      </c>
      <c r="I658" s="11">
        <v>14609000</v>
      </c>
      <c r="J658" s="11">
        <v>0</v>
      </c>
      <c r="K658" s="11">
        <v>0</v>
      </c>
      <c r="L658" s="11">
        <v>11814400</v>
      </c>
      <c r="M658" s="11">
        <v>28450100</v>
      </c>
      <c r="N658" s="11">
        <v>0</v>
      </c>
    </row>
    <row r="659" spans="1:14" x14ac:dyDescent="0.3">
      <c r="A659" s="10">
        <v>46020</v>
      </c>
      <c r="B659" t="s">
        <v>19</v>
      </c>
      <c r="C659" t="str">
        <f t="shared" si="31"/>
        <v>342856178659</v>
      </c>
      <c r="D659" t="str">
        <f t="shared" si="32"/>
        <v>Client659</v>
      </c>
      <c r="E659" t="str">
        <f t="shared" si="30"/>
        <v>BOB659</v>
      </c>
      <c r="F659" t="s">
        <v>26</v>
      </c>
      <c r="G659" s="11" t="s">
        <v>27</v>
      </c>
      <c r="H659" s="11">
        <v>0</v>
      </c>
      <c r="I659" s="11">
        <v>0</v>
      </c>
      <c r="J659" s="11">
        <v>5994000</v>
      </c>
      <c r="K659" s="11">
        <v>0</v>
      </c>
      <c r="L659" s="11">
        <v>35259600</v>
      </c>
      <c r="M659" s="11">
        <v>25520700</v>
      </c>
      <c r="N659" s="11">
        <v>0</v>
      </c>
    </row>
    <row r="660" spans="1:14" x14ac:dyDescent="0.3">
      <c r="A660" s="10">
        <v>46020</v>
      </c>
      <c r="B660" t="s">
        <v>19</v>
      </c>
      <c r="C660" t="str">
        <f t="shared" si="31"/>
        <v>342856178660</v>
      </c>
      <c r="D660" t="str">
        <f t="shared" si="32"/>
        <v>Client660</v>
      </c>
      <c r="E660" t="str">
        <f t="shared" si="30"/>
        <v>BOB660</v>
      </c>
      <c r="F660" t="s">
        <v>32</v>
      </c>
      <c r="G660" s="11" t="s">
        <v>22</v>
      </c>
      <c r="H660" s="11">
        <v>0</v>
      </c>
      <c r="I660" s="11">
        <v>0</v>
      </c>
      <c r="J660" s="11">
        <v>0</v>
      </c>
      <c r="K660" s="11">
        <v>0</v>
      </c>
      <c r="L660" s="11">
        <v>1394700</v>
      </c>
      <c r="M660" s="11">
        <v>200000</v>
      </c>
      <c r="N660" s="11">
        <v>0</v>
      </c>
    </row>
    <row r="661" spans="1:14" x14ac:dyDescent="0.3">
      <c r="A661" s="10">
        <v>46020</v>
      </c>
      <c r="B661" t="s">
        <v>19</v>
      </c>
      <c r="C661" t="str">
        <f t="shared" si="31"/>
        <v>342856178661</v>
      </c>
      <c r="D661" t="str">
        <f t="shared" si="32"/>
        <v>Client661</v>
      </c>
      <c r="E661" t="str">
        <f t="shared" si="30"/>
        <v>BOB661</v>
      </c>
      <c r="G661" s="11"/>
      <c r="H661" s="11">
        <v>0</v>
      </c>
      <c r="I661" s="11">
        <v>0</v>
      </c>
      <c r="J661" s="11">
        <v>0</v>
      </c>
      <c r="K661" s="11">
        <v>0</v>
      </c>
      <c r="L661" s="11">
        <v>0</v>
      </c>
      <c r="M661" s="11">
        <v>0</v>
      </c>
      <c r="N661" s="11">
        <v>0</v>
      </c>
    </row>
    <row r="662" spans="1:14" x14ac:dyDescent="0.3">
      <c r="A662" s="10">
        <v>46020</v>
      </c>
      <c r="B662" t="s">
        <v>19</v>
      </c>
      <c r="C662" t="str">
        <f t="shared" si="31"/>
        <v>342856178662</v>
      </c>
      <c r="D662" t="str">
        <f t="shared" si="32"/>
        <v>Client662</v>
      </c>
      <c r="E662" t="str">
        <f t="shared" si="30"/>
        <v>BOB662</v>
      </c>
      <c r="G662" s="11"/>
      <c r="H662" s="11">
        <v>0</v>
      </c>
      <c r="I662" s="11">
        <v>0</v>
      </c>
      <c r="J662" s="11">
        <v>0</v>
      </c>
      <c r="K662" s="11">
        <v>0</v>
      </c>
      <c r="L662" s="11">
        <v>0</v>
      </c>
      <c r="M662" s="11">
        <v>0</v>
      </c>
      <c r="N662" s="11">
        <v>0</v>
      </c>
    </row>
    <row r="663" spans="1:14" x14ac:dyDescent="0.3">
      <c r="A663" s="10">
        <v>46020</v>
      </c>
      <c r="B663" t="s">
        <v>19</v>
      </c>
      <c r="C663" t="str">
        <f t="shared" si="31"/>
        <v>342856178663</v>
      </c>
      <c r="D663" t="str">
        <f t="shared" si="32"/>
        <v>Client663</v>
      </c>
      <c r="E663" t="str">
        <f t="shared" si="30"/>
        <v>BOB663</v>
      </c>
      <c r="F663" t="s">
        <v>30</v>
      </c>
      <c r="G663" s="11" t="s">
        <v>87</v>
      </c>
      <c r="H663" s="11">
        <v>0</v>
      </c>
      <c r="I663" s="11">
        <v>0</v>
      </c>
      <c r="J663" s="11">
        <v>0</v>
      </c>
      <c r="K663" s="11">
        <v>853000</v>
      </c>
      <c r="L663" s="11">
        <v>294100</v>
      </c>
      <c r="M663" s="11">
        <v>1874800</v>
      </c>
      <c r="N663" s="11">
        <v>0</v>
      </c>
    </row>
    <row r="664" spans="1:14" x14ac:dyDescent="0.3">
      <c r="A664" s="10">
        <v>46020</v>
      </c>
      <c r="B664" t="s">
        <v>19</v>
      </c>
      <c r="C664" t="str">
        <f t="shared" si="31"/>
        <v>342856178664</v>
      </c>
      <c r="D664" t="str">
        <f t="shared" si="32"/>
        <v>Client664</v>
      </c>
      <c r="E664" t="str">
        <f t="shared" si="30"/>
        <v>BOB664</v>
      </c>
      <c r="F664" t="s">
        <v>24</v>
      </c>
      <c r="G664" s="11" t="s">
        <v>22</v>
      </c>
      <c r="H664" s="11">
        <v>0</v>
      </c>
      <c r="I664" s="11">
        <v>0</v>
      </c>
      <c r="J664" s="11">
        <v>0</v>
      </c>
      <c r="K664" s="11">
        <v>0</v>
      </c>
      <c r="L664" s="11">
        <v>224400</v>
      </c>
      <c r="M664" s="11">
        <v>275400</v>
      </c>
      <c r="N664" s="11">
        <v>0</v>
      </c>
    </row>
    <row r="665" spans="1:14" x14ac:dyDescent="0.3">
      <c r="A665" s="10">
        <v>46020</v>
      </c>
      <c r="B665" t="s">
        <v>19</v>
      </c>
      <c r="C665" t="str">
        <f t="shared" si="31"/>
        <v>342856178665</v>
      </c>
      <c r="D665" t="str">
        <f t="shared" si="32"/>
        <v>Client665</v>
      </c>
      <c r="E665" t="str">
        <f t="shared" si="30"/>
        <v>BOB665</v>
      </c>
      <c r="G665" s="11"/>
      <c r="H665" s="11">
        <v>0</v>
      </c>
      <c r="I665" s="11">
        <v>0</v>
      </c>
      <c r="J665" s="11">
        <v>0</v>
      </c>
      <c r="K665" s="11">
        <v>0</v>
      </c>
      <c r="L665" s="11">
        <v>0</v>
      </c>
      <c r="M665" s="11">
        <v>0</v>
      </c>
      <c r="N665" s="11">
        <v>0</v>
      </c>
    </row>
    <row r="666" spans="1:14" x14ac:dyDescent="0.3">
      <c r="A666" s="10">
        <v>46020</v>
      </c>
      <c r="B666" t="s">
        <v>19</v>
      </c>
      <c r="C666" t="str">
        <f t="shared" si="31"/>
        <v>342856178666</v>
      </c>
      <c r="D666" t="str">
        <f t="shared" si="32"/>
        <v>Client666</v>
      </c>
      <c r="E666" t="str">
        <f t="shared" si="30"/>
        <v>BOB666</v>
      </c>
      <c r="F666" t="s">
        <v>26</v>
      </c>
      <c r="G666" s="11" t="s">
        <v>27</v>
      </c>
      <c r="H666" s="11">
        <v>0</v>
      </c>
      <c r="I666" s="11">
        <v>0</v>
      </c>
      <c r="J666" s="11">
        <v>0</v>
      </c>
      <c r="K666" s="11">
        <v>500500</v>
      </c>
      <c r="L666" s="11">
        <v>1153000</v>
      </c>
      <c r="M666" s="11">
        <v>2313700</v>
      </c>
      <c r="N666" s="11">
        <v>0</v>
      </c>
    </row>
    <row r="667" spans="1:14" x14ac:dyDescent="0.3">
      <c r="A667" s="10">
        <v>46020</v>
      </c>
      <c r="B667" t="s">
        <v>19</v>
      </c>
      <c r="C667" t="str">
        <f t="shared" si="31"/>
        <v>342856178667</v>
      </c>
      <c r="D667" t="str">
        <f t="shared" si="32"/>
        <v>Client667</v>
      </c>
      <c r="E667" t="str">
        <f t="shared" si="30"/>
        <v>BOB667</v>
      </c>
      <c r="F667" t="s">
        <v>21</v>
      </c>
      <c r="G667" s="11" t="s">
        <v>22</v>
      </c>
      <c r="H667" s="11">
        <v>0</v>
      </c>
      <c r="I667" s="11">
        <v>0</v>
      </c>
      <c r="J667" s="11">
        <v>0</v>
      </c>
      <c r="K667" s="11">
        <v>0</v>
      </c>
      <c r="L667" s="11">
        <v>8230500</v>
      </c>
      <c r="M667" s="11">
        <v>8119100</v>
      </c>
      <c r="N667" s="11">
        <v>0</v>
      </c>
    </row>
    <row r="668" spans="1:14" x14ac:dyDescent="0.3">
      <c r="A668" s="10">
        <v>46020</v>
      </c>
      <c r="B668" t="s">
        <v>19</v>
      </c>
      <c r="C668" t="str">
        <f t="shared" si="31"/>
        <v>342856178668</v>
      </c>
      <c r="D668" t="str">
        <f t="shared" si="32"/>
        <v>Client668</v>
      </c>
      <c r="E668" t="str">
        <f t="shared" si="30"/>
        <v>BOB668</v>
      </c>
      <c r="F668" t="s">
        <v>32</v>
      </c>
      <c r="G668" s="11" t="s">
        <v>22</v>
      </c>
      <c r="H668" s="11">
        <v>0</v>
      </c>
      <c r="I668" s="11">
        <v>0</v>
      </c>
      <c r="J668" s="11">
        <v>1773000</v>
      </c>
      <c r="K668" s="11">
        <v>1392000</v>
      </c>
      <c r="L668" s="11">
        <v>9005200</v>
      </c>
      <c r="M668" s="11">
        <v>8708200</v>
      </c>
      <c r="N668" s="11">
        <v>0</v>
      </c>
    </row>
    <row r="669" spans="1:14" x14ac:dyDescent="0.3">
      <c r="A669" s="10">
        <v>46020</v>
      </c>
      <c r="B669" t="s">
        <v>19</v>
      </c>
      <c r="C669" t="str">
        <f t="shared" si="31"/>
        <v>342856178669</v>
      </c>
      <c r="D669" t="str">
        <f t="shared" si="32"/>
        <v>Client669</v>
      </c>
      <c r="E669" t="str">
        <f t="shared" si="30"/>
        <v>BOB669</v>
      </c>
      <c r="F669" t="s">
        <v>21</v>
      </c>
      <c r="G669" s="11" t="s">
        <v>22</v>
      </c>
      <c r="H669" s="11">
        <v>0</v>
      </c>
      <c r="I669" s="11">
        <v>0</v>
      </c>
      <c r="J669" s="11">
        <v>0</v>
      </c>
      <c r="K669" s="11">
        <v>0</v>
      </c>
      <c r="L669" s="11">
        <v>2222600</v>
      </c>
      <c r="M669" s="11">
        <v>2141100</v>
      </c>
      <c r="N669" s="11">
        <v>0</v>
      </c>
    </row>
    <row r="670" spans="1:14" x14ac:dyDescent="0.3">
      <c r="A670" s="10">
        <v>46020</v>
      </c>
      <c r="B670" t="s">
        <v>19</v>
      </c>
      <c r="C670" t="str">
        <f t="shared" si="31"/>
        <v>342856178670</v>
      </c>
      <c r="D670" t="str">
        <f t="shared" si="32"/>
        <v>Client670</v>
      </c>
      <c r="E670" t="str">
        <f t="shared" si="30"/>
        <v>BOB670</v>
      </c>
      <c r="F670" t="s">
        <v>24</v>
      </c>
      <c r="G670" s="11" t="s">
        <v>22</v>
      </c>
      <c r="H670" s="11">
        <v>0</v>
      </c>
      <c r="I670" s="11">
        <v>0</v>
      </c>
      <c r="J670" s="11">
        <v>0</v>
      </c>
      <c r="K670" s="11">
        <v>5007500</v>
      </c>
      <c r="L670" s="11">
        <v>9883800</v>
      </c>
      <c r="M670" s="11">
        <v>13965700</v>
      </c>
      <c r="N670" s="11">
        <v>0</v>
      </c>
    </row>
    <row r="671" spans="1:14" x14ac:dyDescent="0.3">
      <c r="A671" s="10">
        <v>46020</v>
      </c>
      <c r="B671" t="s">
        <v>19</v>
      </c>
      <c r="C671" t="str">
        <f t="shared" si="31"/>
        <v>342856178671</v>
      </c>
      <c r="D671" t="str">
        <f t="shared" si="32"/>
        <v>Client671</v>
      </c>
      <c r="E671" t="str">
        <f t="shared" si="30"/>
        <v>BOB671</v>
      </c>
      <c r="F671" t="s">
        <v>32</v>
      </c>
      <c r="G671" s="11" t="s">
        <v>22</v>
      </c>
      <c r="H671" s="11">
        <v>0</v>
      </c>
      <c r="I671" s="11">
        <v>0</v>
      </c>
      <c r="J671" s="11">
        <v>19000000</v>
      </c>
      <c r="K671" s="11">
        <v>16500000</v>
      </c>
      <c r="L671" s="11">
        <v>2705500</v>
      </c>
      <c r="M671" s="11">
        <v>0</v>
      </c>
      <c r="N671" s="11">
        <v>0</v>
      </c>
    </row>
    <row r="672" spans="1:14" x14ac:dyDescent="0.3">
      <c r="A672" s="10">
        <v>46020</v>
      </c>
      <c r="B672" t="s">
        <v>19</v>
      </c>
      <c r="C672" t="str">
        <f t="shared" si="31"/>
        <v>342856178672</v>
      </c>
      <c r="D672" t="str">
        <f t="shared" si="32"/>
        <v>Client672</v>
      </c>
      <c r="E672" t="str">
        <f t="shared" si="30"/>
        <v>BOB672</v>
      </c>
      <c r="F672" t="s">
        <v>32</v>
      </c>
      <c r="G672" s="11" t="s">
        <v>22</v>
      </c>
      <c r="H672" s="11">
        <v>0</v>
      </c>
      <c r="I672" s="11">
        <v>0</v>
      </c>
      <c r="J672" s="11">
        <v>0</v>
      </c>
      <c r="K672" s="11">
        <v>0</v>
      </c>
      <c r="L672" s="11">
        <v>15117100</v>
      </c>
      <c r="M672" s="11">
        <v>13634400</v>
      </c>
      <c r="N672" s="11">
        <v>0</v>
      </c>
    </row>
    <row r="673" spans="1:14" x14ac:dyDescent="0.3">
      <c r="A673" s="10">
        <v>46020</v>
      </c>
      <c r="B673" t="s">
        <v>19</v>
      </c>
      <c r="C673" t="str">
        <f t="shared" si="31"/>
        <v>342856178673</v>
      </c>
      <c r="D673" t="str">
        <f t="shared" si="32"/>
        <v>Client673</v>
      </c>
      <c r="E673" t="str">
        <f t="shared" si="30"/>
        <v>BOB673</v>
      </c>
      <c r="G673" s="11"/>
      <c r="H673" s="11">
        <v>0</v>
      </c>
      <c r="I673" s="11">
        <v>0</v>
      </c>
      <c r="J673" s="11">
        <v>0</v>
      </c>
      <c r="K673" s="11">
        <v>3000000</v>
      </c>
      <c r="L673" s="11">
        <v>12082700</v>
      </c>
      <c r="M673" s="11">
        <v>15815800</v>
      </c>
      <c r="N673" s="11">
        <v>0</v>
      </c>
    </row>
    <row r="674" spans="1:14" x14ac:dyDescent="0.3">
      <c r="A674" s="10">
        <v>46020</v>
      </c>
      <c r="B674" t="s">
        <v>19</v>
      </c>
      <c r="C674" t="str">
        <f t="shared" si="31"/>
        <v>342856178674</v>
      </c>
      <c r="D674" t="str">
        <f t="shared" si="32"/>
        <v>Client674</v>
      </c>
      <c r="E674" t="str">
        <f t="shared" si="30"/>
        <v>BOB674</v>
      </c>
      <c r="F674" t="s">
        <v>21</v>
      </c>
      <c r="G674" s="11" t="s">
        <v>22</v>
      </c>
      <c r="H674" s="11">
        <v>0</v>
      </c>
      <c r="I674" s="11">
        <v>0</v>
      </c>
      <c r="J674" s="11">
        <v>0</v>
      </c>
      <c r="K674" s="11">
        <v>0</v>
      </c>
      <c r="L674" s="11">
        <v>7056900</v>
      </c>
      <c r="M674" s="11">
        <v>7229000</v>
      </c>
      <c r="N674" s="11">
        <v>0</v>
      </c>
    </row>
    <row r="675" spans="1:14" x14ac:dyDescent="0.3">
      <c r="A675" s="10">
        <v>46020</v>
      </c>
      <c r="B675" t="s">
        <v>19</v>
      </c>
      <c r="C675" t="str">
        <f t="shared" si="31"/>
        <v>342856178675</v>
      </c>
      <c r="D675" t="str">
        <f t="shared" si="32"/>
        <v>Client675</v>
      </c>
      <c r="E675" t="str">
        <f t="shared" si="30"/>
        <v>BOB675</v>
      </c>
      <c r="F675" t="s">
        <v>24</v>
      </c>
      <c r="G675" s="11" t="s">
        <v>100</v>
      </c>
      <c r="H675" s="11">
        <v>0</v>
      </c>
      <c r="I675" s="11">
        <v>0</v>
      </c>
      <c r="J675" s="11">
        <v>0</v>
      </c>
      <c r="K675" s="11">
        <v>400000</v>
      </c>
      <c r="L675" s="11">
        <v>2808500</v>
      </c>
      <c r="M675" s="11">
        <v>3364100</v>
      </c>
      <c r="N675" s="11">
        <v>0</v>
      </c>
    </row>
    <row r="676" spans="1:14" x14ac:dyDescent="0.3">
      <c r="A676" s="10">
        <v>46020</v>
      </c>
      <c r="B676" t="s">
        <v>19</v>
      </c>
      <c r="C676" t="str">
        <f t="shared" si="31"/>
        <v>342856178676</v>
      </c>
      <c r="D676" t="str">
        <f t="shared" si="32"/>
        <v>Client676</v>
      </c>
      <c r="E676" t="str">
        <f t="shared" si="30"/>
        <v>BOB676</v>
      </c>
      <c r="F676" t="s">
        <v>26</v>
      </c>
      <c r="G676" s="11" t="s">
        <v>27</v>
      </c>
      <c r="H676" s="11">
        <v>0</v>
      </c>
      <c r="I676" s="11">
        <v>0</v>
      </c>
      <c r="J676" s="11">
        <v>0</v>
      </c>
      <c r="K676" s="11">
        <v>12000000</v>
      </c>
      <c r="L676" s="11">
        <v>10021800</v>
      </c>
      <c r="M676" s="11">
        <v>21290200</v>
      </c>
      <c r="N676" s="11">
        <v>0</v>
      </c>
    </row>
    <row r="677" spans="1:14" x14ac:dyDescent="0.3">
      <c r="A677" s="10">
        <v>46020</v>
      </c>
      <c r="B677" t="s">
        <v>19</v>
      </c>
      <c r="C677" t="str">
        <f t="shared" si="31"/>
        <v>342856178677</v>
      </c>
      <c r="D677" t="str">
        <f t="shared" si="32"/>
        <v>Client677</v>
      </c>
      <c r="E677" t="str">
        <f t="shared" si="30"/>
        <v>BOB677</v>
      </c>
      <c r="G677" s="11"/>
      <c r="H677" s="11">
        <v>0</v>
      </c>
      <c r="I677" s="11">
        <v>0</v>
      </c>
      <c r="J677" s="11">
        <v>0</v>
      </c>
      <c r="K677" s="11">
        <v>0</v>
      </c>
      <c r="L677" s="11">
        <v>1847800</v>
      </c>
      <c r="M677" s="11">
        <v>1536700</v>
      </c>
      <c r="N677" s="11">
        <v>0</v>
      </c>
    </row>
    <row r="678" spans="1:14" x14ac:dyDescent="0.3">
      <c r="A678" s="10">
        <v>46020</v>
      </c>
      <c r="B678" t="s">
        <v>19</v>
      </c>
      <c r="C678" t="str">
        <f t="shared" si="31"/>
        <v>342856178678</v>
      </c>
      <c r="D678" t="str">
        <f t="shared" si="32"/>
        <v>Client678</v>
      </c>
      <c r="E678" t="str">
        <f t="shared" si="30"/>
        <v>BOB678</v>
      </c>
      <c r="F678" t="s">
        <v>32</v>
      </c>
      <c r="G678" s="11" t="s">
        <v>22</v>
      </c>
      <c r="H678" s="11">
        <v>0</v>
      </c>
      <c r="I678" s="11">
        <v>202000</v>
      </c>
      <c r="J678" s="11">
        <v>0</v>
      </c>
      <c r="K678" s="11">
        <v>0</v>
      </c>
      <c r="L678" s="11">
        <v>5371400</v>
      </c>
      <c r="M678" s="11">
        <v>5595900</v>
      </c>
      <c r="N678" s="11">
        <v>0</v>
      </c>
    </row>
    <row r="679" spans="1:14" x14ac:dyDescent="0.3">
      <c r="A679" s="10">
        <v>46020</v>
      </c>
      <c r="B679" t="s">
        <v>19</v>
      </c>
      <c r="C679" t="str">
        <f t="shared" si="31"/>
        <v>342856178679</v>
      </c>
      <c r="D679" t="str">
        <f t="shared" si="32"/>
        <v>Client679</v>
      </c>
      <c r="E679" t="str">
        <f t="shared" si="30"/>
        <v>BOB679</v>
      </c>
      <c r="F679" t="s">
        <v>21</v>
      </c>
      <c r="G679" s="11" t="s">
        <v>22</v>
      </c>
      <c r="H679" s="11">
        <v>0</v>
      </c>
      <c r="I679" s="11">
        <v>0</v>
      </c>
      <c r="J679" s="11">
        <v>0</v>
      </c>
      <c r="K679" s="11">
        <v>100000</v>
      </c>
      <c r="L679" s="11">
        <v>288900</v>
      </c>
      <c r="M679" s="11">
        <v>287000</v>
      </c>
      <c r="N679" s="11">
        <v>0</v>
      </c>
    </row>
    <row r="680" spans="1:14" x14ac:dyDescent="0.3">
      <c r="A680" s="10">
        <v>46020</v>
      </c>
      <c r="B680" t="s">
        <v>19</v>
      </c>
      <c r="C680" t="str">
        <f t="shared" si="31"/>
        <v>342856178680</v>
      </c>
      <c r="D680" t="str">
        <f t="shared" si="32"/>
        <v>Client680</v>
      </c>
      <c r="E680" t="str">
        <f t="shared" si="30"/>
        <v>BOB680</v>
      </c>
      <c r="F680" t="s">
        <v>24</v>
      </c>
      <c r="G680" s="11" t="s">
        <v>22</v>
      </c>
      <c r="H680" s="11">
        <v>0</v>
      </c>
      <c r="I680" s="11">
        <v>0</v>
      </c>
      <c r="J680" s="11">
        <v>400000</v>
      </c>
      <c r="K680" s="11">
        <v>0</v>
      </c>
      <c r="L680" s="11">
        <v>4331800</v>
      </c>
      <c r="M680" s="11">
        <v>4051200</v>
      </c>
      <c r="N680" s="11">
        <v>0</v>
      </c>
    </row>
    <row r="681" spans="1:14" x14ac:dyDescent="0.3">
      <c r="A681" s="10">
        <v>46020</v>
      </c>
      <c r="B681" t="s">
        <v>19</v>
      </c>
      <c r="C681" t="str">
        <f t="shared" si="31"/>
        <v>342856178681</v>
      </c>
      <c r="D681" t="str">
        <f t="shared" si="32"/>
        <v>Client681</v>
      </c>
      <c r="E681" t="str">
        <f t="shared" si="30"/>
        <v>BOB681</v>
      </c>
      <c r="F681" t="s">
        <v>21</v>
      </c>
      <c r="G681" s="11" t="s">
        <v>22</v>
      </c>
      <c r="H681" s="11">
        <v>0</v>
      </c>
      <c r="I681" s="11">
        <v>0</v>
      </c>
      <c r="J681" s="11">
        <v>0</v>
      </c>
      <c r="K681" s="11">
        <v>0</v>
      </c>
      <c r="L681" s="11">
        <v>0</v>
      </c>
      <c r="M681" s="11">
        <v>0</v>
      </c>
      <c r="N681" s="11">
        <v>0</v>
      </c>
    </row>
    <row r="682" spans="1:14" x14ac:dyDescent="0.3">
      <c r="A682" s="10">
        <v>46020</v>
      </c>
      <c r="B682" t="s">
        <v>19</v>
      </c>
      <c r="C682" t="str">
        <f t="shared" si="31"/>
        <v>342856178682</v>
      </c>
      <c r="D682" t="str">
        <f t="shared" si="32"/>
        <v>Client682</v>
      </c>
      <c r="E682" t="str">
        <f t="shared" si="30"/>
        <v>BOB682</v>
      </c>
      <c r="F682" t="s">
        <v>30</v>
      </c>
      <c r="G682" s="11" t="s">
        <v>22</v>
      </c>
      <c r="H682" s="11">
        <v>0</v>
      </c>
      <c r="I682" s="11">
        <v>0</v>
      </c>
      <c r="J682" s="11">
        <v>1000000</v>
      </c>
      <c r="K682" s="11">
        <v>0</v>
      </c>
      <c r="L682" s="11">
        <v>11468300</v>
      </c>
      <c r="M682" s="11">
        <v>10396300</v>
      </c>
      <c r="N682" s="11">
        <v>0</v>
      </c>
    </row>
    <row r="683" spans="1:14" x14ac:dyDescent="0.3">
      <c r="A683" s="10">
        <v>46020</v>
      </c>
      <c r="B683" t="s">
        <v>19</v>
      </c>
      <c r="C683" t="str">
        <f t="shared" si="31"/>
        <v>342856178683</v>
      </c>
      <c r="D683" t="str">
        <f t="shared" si="32"/>
        <v>Client683</v>
      </c>
      <c r="E683" t="str">
        <f t="shared" si="30"/>
        <v>BOB683</v>
      </c>
      <c r="F683" t="s">
        <v>26</v>
      </c>
      <c r="G683" s="11" t="s">
        <v>72</v>
      </c>
      <c r="H683" s="11">
        <v>0</v>
      </c>
      <c r="I683" s="11">
        <v>0</v>
      </c>
      <c r="J683" s="11">
        <v>0</v>
      </c>
      <c r="K683" s="11">
        <v>0</v>
      </c>
      <c r="L683" s="11">
        <v>9847200</v>
      </c>
      <c r="M683" s="11">
        <v>14322800</v>
      </c>
      <c r="N683" s="11">
        <v>0</v>
      </c>
    </row>
    <row r="684" spans="1:14" x14ac:dyDescent="0.3">
      <c r="A684" s="10">
        <v>46020</v>
      </c>
      <c r="B684" t="s">
        <v>19</v>
      </c>
      <c r="C684" t="str">
        <f t="shared" si="31"/>
        <v>342856178684</v>
      </c>
      <c r="D684" t="str">
        <f t="shared" si="32"/>
        <v>Client684</v>
      </c>
      <c r="E684" t="str">
        <f t="shared" si="30"/>
        <v>BOB684</v>
      </c>
      <c r="F684" t="s">
        <v>21</v>
      </c>
      <c r="G684" s="11" t="s">
        <v>22</v>
      </c>
      <c r="H684" s="11">
        <v>0</v>
      </c>
      <c r="I684" s="11">
        <v>0</v>
      </c>
      <c r="J684" s="11">
        <v>0</v>
      </c>
      <c r="K684" s="11">
        <v>0</v>
      </c>
      <c r="L684" s="11">
        <v>5992100</v>
      </c>
      <c r="M684" s="11">
        <v>5656600</v>
      </c>
      <c r="N684" s="11">
        <v>0</v>
      </c>
    </row>
    <row r="685" spans="1:14" x14ac:dyDescent="0.3">
      <c r="A685" s="10">
        <v>46020</v>
      </c>
      <c r="B685" t="s">
        <v>19</v>
      </c>
      <c r="C685" t="str">
        <f t="shared" si="31"/>
        <v>342856178685</v>
      </c>
      <c r="D685" t="str">
        <f t="shared" si="32"/>
        <v>Client685</v>
      </c>
      <c r="E685" t="str">
        <f t="shared" si="30"/>
        <v>BOB685</v>
      </c>
      <c r="F685" t="s">
        <v>24</v>
      </c>
      <c r="G685" s="11" t="s">
        <v>86</v>
      </c>
      <c r="H685" s="11">
        <v>0</v>
      </c>
      <c r="I685" s="11">
        <v>0</v>
      </c>
      <c r="J685" s="11">
        <v>0</v>
      </c>
      <c r="K685" s="11">
        <v>0</v>
      </c>
      <c r="L685" s="11">
        <v>2674700</v>
      </c>
      <c r="M685" s="11">
        <v>3639800</v>
      </c>
      <c r="N685" s="11">
        <v>0</v>
      </c>
    </row>
    <row r="686" spans="1:14" x14ac:dyDescent="0.3">
      <c r="A686" s="10">
        <v>46020</v>
      </c>
      <c r="B686" t="s">
        <v>19</v>
      </c>
      <c r="C686" t="str">
        <f t="shared" si="31"/>
        <v>342856178686</v>
      </c>
      <c r="D686" t="str">
        <f t="shared" si="32"/>
        <v>Client686</v>
      </c>
      <c r="E686" t="str">
        <f t="shared" si="30"/>
        <v>BOB686</v>
      </c>
      <c r="F686" t="s">
        <v>32</v>
      </c>
      <c r="G686" s="11" t="s">
        <v>22</v>
      </c>
      <c r="H686" s="11">
        <v>0</v>
      </c>
      <c r="I686" s="11">
        <v>0</v>
      </c>
      <c r="J686" s="11">
        <v>12000000</v>
      </c>
      <c r="K686" s="11">
        <v>0</v>
      </c>
      <c r="L686" s="11">
        <v>21256000</v>
      </c>
      <c r="M686" s="11">
        <v>6328000</v>
      </c>
      <c r="N686" s="11">
        <v>4340000</v>
      </c>
    </row>
    <row r="687" spans="1:14" x14ac:dyDescent="0.3">
      <c r="A687" s="10">
        <v>46020</v>
      </c>
      <c r="B687" t="s">
        <v>19</v>
      </c>
      <c r="C687" t="str">
        <f t="shared" si="31"/>
        <v>342856178687</v>
      </c>
      <c r="D687" t="str">
        <f t="shared" si="32"/>
        <v>Client687</v>
      </c>
      <c r="E687" t="str">
        <f t="shared" si="30"/>
        <v>BOB687</v>
      </c>
      <c r="F687" t="s">
        <v>26</v>
      </c>
      <c r="G687" s="11" t="s">
        <v>27</v>
      </c>
      <c r="H687" s="11">
        <v>0</v>
      </c>
      <c r="I687" s="11">
        <v>0</v>
      </c>
      <c r="J687" s="11">
        <v>40400000</v>
      </c>
      <c r="K687" s="11">
        <v>25501500</v>
      </c>
      <c r="L687" s="11">
        <v>126948100</v>
      </c>
      <c r="M687" s="11">
        <v>88785900</v>
      </c>
      <c r="N687" s="11">
        <v>0</v>
      </c>
    </row>
    <row r="688" spans="1:14" x14ac:dyDescent="0.3">
      <c r="A688" s="10">
        <v>46020</v>
      </c>
      <c r="B688" t="s">
        <v>19</v>
      </c>
      <c r="C688" t="str">
        <f t="shared" si="31"/>
        <v>342856178688</v>
      </c>
      <c r="D688" t="str">
        <f t="shared" si="32"/>
        <v>Client688</v>
      </c>
      <c r="E688" t="str">
        <f t="shared" si="30"/>
        <v>BOB688</v>
      </c>
      <c r="F688" t="s">
        <v>21</v>
      </c>
      <c r="G688" s="11" t="s">
        <v>22</v>
      </c>
      <c r="H688" s="11">
        <v>0</v>
      </c>
      <c r="I688" s="11">
        <v>0</v>
      </c>
      <c r="J688" s="11">
        <v>0</v>
      </c>
      <c r="K688" s="11">
        <v>0</v>
      </c>
      <c r="L688" s="11">
        <v>2524900</v>
      </c>
      <c r="M688" s="11">
        <v>1531000</v>
      </c>
      <c r="N688" s="11">
        <v>0</v>
      </c>
    </row>
    <row r="689" spans="1:14" x14ac:dyDescent="0.3">
      <c r="A689" s="10">
        <v>46020</v>
      </c>
      <c r="B689" t="s">
        <v>19</v>
      </c>
      <c r="C689" t="str">
        <f t="shared" si="31"/>
        <v>342856178689</v>
      </c>
      <c r="D689" t="str">
        <f t="shared" si="32"/>
        <v>Client689</v>
      </c>
      <c r="E689" t="str">
        <f t="shared" si="30"/>
        <v>BOB689</v>
      </c>
      <c r="F689" t="s">
        <v>30</v>
      </c>
      <c r="G689" s="11" t="s">
        <v>22</v>
      </c>
      <c r="H689" s="11">
        <v>0</v>
      </c>
      <c r="I689" s="11">
        <v>0</v>
      </c>
      <c r="J689" s="11">
        <v>0</v>
      </c>
      <c r="K689" s="11">
        <v>0</v>
      </c>
      <c r="L689" s="11">
        <v>0</v>
      </c>
      <c r="M689" s="11">
        <v>0</v>
      </c>
      <c r="N689" s="11">
        <v>0</v>
      </c>
    </row>
    <row r="690" spans="1:14" x14ac:dyDescent="0.3">
      <c r="A690" s="10">
        <v>46020</v>
      </c>
      <c r="B690" t="s">
        <v>19</v>
      </c>
      <c r="C690" t="str">
        <f t="shared" si="31"/>
        <v>342856178690</v>
      </c>
      <c r="D690" t="str">
        <f t="shared" si="32"/>
        <v>Client690</v>
      </c>
      <c r="E690" t="str">
        <f t="shared" si="30"/>
        <v>BOB690</v>
      </c>
      <c r="F690" t="s">
        <v>30</v>
      </c>
      <c r="G690" s="11" t="s">
        <v>87</v>
      </c>
      <c r="H690" s="11">
        <v>0</v>
      </c>
      <c r="I690" s="11">
        <v>0</v>
      </c>
      <c r="J690" s="11">
        <v>0</v>
      </c>
      <c r="K690" s="11">
        <v>8025000</v>
      </c>
      <c r="L690" s="11">
        <v>6901700</v>
      </c>
      <c r="M690" s="11">
        <v>16482800</v>
      </c>
      <c r="N690" s="11">
        <v>0</v>
      </c>
    </row>
    <row r="691" spans="1:14" x14ac:dyDescent="0.3">
      <c r="A691" s="10">
        <v>46020</v>
      </c>
      <c r="B691" t="s">
        <v>19</v>
      </c>
      <c r="C691" t="str">
        <f t="shared" si="31"/>
        <v>342856178691</v>
      </c>
      <c r="D691" t="str">
        <f t="shared" si="32"/>
        <v>Client691</v>
      </c>
      <c r="E691" t="str">
        <f t="shared" si="30"/>
        <v>BOB691</v>
      </c>
      <c r="G691" s="11"/>
      <c r="H691" s="11">
        <v>0</v>
      </c>
      <c r="I691" s="11">
        <v>0</v>
      </c>
      <c r="J691" s="11">
        <v>0</v>
      </c>
      <c r="K691" s="11">
        <v>3500000</v>
      </c>
      <c r="L691" s="11">
        <v>3523000</v>
      </c>
      <c r="M691" s="11">
        <v>4909200</v>
      </c>
      <c r="N691" s="11">
        <v>0</v>
      </c>
    </row>
    <row r="692" spans="1:14" x14ac:dyDescent="0.3">
      <c r="A692" s="10">
        <v>46020</v>
      </c>
      <c r="B692" t="s">
        <v>19</v>
      </c>
      <c r="C692" t="str">
        <f t="shared" si="31"/>
        <v>342856178692</v>
      </c>
      <c r="D692" t="str">
        <f t="shared" si="32"/>
        <v>Client692</v>
      </c>
      <c r="E692" t="str">
        <f t="shared" si="30"/>
        <v>BOB692</v>
      </c>
      <c r="G692" s="11"/>
      <c r="H692" s="11">
        <v>0</v>
      </c>
      <c r="I692" s="11">
        <v>0</v>
      </c>
      <c r="J692" s="11">
        <v>0</v>
      </c>
      <c r="K692" s="11">
        <v>0</v>
      </c>
      <c r="L692" s="11">
        <v>2330500</v>
      </c>
      <c r="M692" s="11">
        <v>2666600</v>
      </c>
      <c r="N692" s="11">
        <v>0</v>
      </c>
    </row>
    <row r="693" spans="1:14" x14ac:dyDescent="0.3">
      <c r="A693" s="10">
        <v>46020</v>
      </c>
      <c r="B693" t="s">
        <v>19</v>
      </c>
      <c r="C693" t="str">
        <f t="shared" si="31"/>
        <v>342856178693</v>
      </c>
      <c r="D693" t="str">
        <f t="shared" si="32"/>
        <v>Client693</v>
      </c>
      <c r="E693" t="str">
        <f t="shared" si="30"/>
        <v>BOB693</v>
      </c>
      <c r="F693" t="s">
        <v>32</v>
      </c>
      <c r="G693" s="11" t="s">
        <v>22</v>
      </c>
      <c r="H693" s="11">
        <v>0</v>
      </c>
      <c r="I693" s="11">
        <v>0</v>
      </c>
      <c r="J693" s="11">
        <v>0</v>
      </c>
      <c r="K693" s="11">
        <v>0</v>
      </c>
      <c r="L693" s="11">
        <v>5209700</v>
      </c>
      <c r="M693" s="11">
        <v>5159000</v>
      </c>
      <c r="N693" s="11">
        <v>0</v>
      </c>
    </row>
    <row r="694" spans="1:14" x14ac:dyDescent="0.3">
      <c r="A694" s="10">
        <v>46020</v>
      </c>
      <c r="B694" t="s">
        <v>19</v>
      </c>
      <c r="C694" t="str">
        <f t="shared" si="31"/>
        <v>342856178694</v>
      </c>
      <c r="D694" t="str">
        <f t="shared" si="32"/>
        <v>Client694</v>
      </c>
      <c r="E694" t="str">
        <f t="shared" si="30"/>
        <v>BOB694</v>
      </c>
      <c r="F694" t="s">
        <v>30</v>
      </c>
      <c r="G694" s="11" t="s">
        <v>22</v>
      </c>
      <c r="H694" s="11">
        <v>0</v>
      </c>
      <c r="I694" s="11">
        <v>700000</v>
      </c>
      <c r="J694" s="11">
        <v>11000000</v>
      </c>
      <c r="K694" s="11">
        <v>7913200</v>
      </c>
      <c r="L694" s="11">
        <v>9031200</v>
      </c>
      <c r="M694" s="11">
        <v>9049500</v>
      </c>
      <c r="N694" s="11">
        <v>0</v>
      </c>
    </row>
    <row r="695" spans="1:14" x14ac:dyDescent="0.3">
      <c r="A695" s="10">
        <v>46020</v>
      </c>
      <c r="B695" t="s">
        <v>19</v>
      </c>
      <c r="C695" t="str">
        <f t="shared" si="31"/>
        <v>342856178695</v>
      </c>
      <c r="D695" t="str">
        <f t="shared" si="32"/>
        <v>Client695</v>
      </c>
      <c r="E695" t="str">
        <f t="shared" si="30"/>
        <v>BOB695</v>
      </c>
      <c r="F695" t="s">
        <v>24</v>
      </c>
      <c r="G695" s="11" t="s">
        <v>22</v>
      </c>
      <c r="H695" s="11">
        <v>0</v>
      </c>
      <c r="I695" s="11">
        <v>0</v>
      </c>
      <c r="J695" s="11">
        <v>0</v>
      </c>
      <c r="K695" s="11">
        <v>0</v>
      </c>
      <c r="L695" s="11">
        <v>6497600</v>
      </c>
      <c r="M695" s="11">
        <v>7277300</v>
      </c>
      <c r="N695" s="11">
        <v>0</v>
      </c>
    </row>
    <row r="696" spans="1:14" x14ac:dyDescent="0.3">
      <c r="A696" s="10">
        <v>46020</v>
      </c>
      <c r="B696" t="s">
        <v>19</v>
      </c>
      <c r="C696" t="str">
        <f t="shared" si="31"/>
        <v>342856178696</v>
      </c>
      <c r="D696" t="str">
        <f t="shared" si="32"/>
        <v>Client696</v>
      </c>
      <c r="E696" t="str">
        <f t="shared" si="30"/>
        <v>BOB696</v>
      </c>
      <c r="G696" s="11"/>
      <c r="H696" s="11">
        <v>0</v>
      </c>
      <c r="I696" s="11">
        <v>0</v>
      </c>
      <c r="J696" s="11">
        <v>0</v>
      </c>
      <c r="K696" s="11">
        <v>0</v>
      </c>
      <c r="L696" s="11">
        <v>305600</v>
      </c>
      <c r="M696" s="11">
        <v>625800</v>
      </c>
      <c r="N696" s="11">
        <v>0</v>
      </c>
    </row>
    <row r="697" spans="1:14" x14ac:dyDescent="0.3">
      <c r="A697" s="10">
        <v>46020</v>
      </c>
      <c r="B697" t="s">
        <v>19</v>
      </c>
      <c r="C697" t="str">
        <f t="shared" si="31"/>
        <v>342856178697</v>
      </c>
      <c r="D697" t="str">
        <f t="shared" si="32"/>
        <v>Client697</v>
      </c>
      <c r="E697" t="str">
        <f t="shared" si="30"/>
        <v>BOB697</v>
      </c>
      <c r="F697" t="s">
        <v>21</v>
      </c>
      <c r="G697" s="11" t="s">
        <v>22</v>
      </c>
      <c r="H697" s="11">
        <v>0</v>
      </c>
      <c r="I697" s="11">
        <v>0</v>
      </c>
      <c r="J697" s="11">
        <v>0</v>
      </c>
      <c r="K697" s="11">
        <v>0</v>
      </c>
      <c r="L697" s="11">
        <v>16619400</v>
      </c>
      <c r="M697" s="11">
        <v>14443400</v>
      </c>
      <c r="N697" s="11">
        <v>0</v>
      </c>
    </row>
    <row r="698" spans="1:14" x14ac:dyDescent="0.3">
      <c r="A698" s="10">
        <v>46020</v>
      </c>
      <c r="B698" t="s">
        <v>19</v>
      </c>
      <c r="C698" t="str">
        <f t="shared" si="31"/>
        <v>342856178698</v>
      </c>
      <c r="D698" t="str">
        <f t="shared" si="32"/>
        <v>Client698</v>
      </c>
      <c r="E698" t="str">
        <f t="shared" si="30"/>
        <v>BOB698</v>
      </c>
      <c r="F698" t="s">
        <v>21</v>
      </c>
      <c r="G698" s="11" t="s">
        <v>22</v>
      </c>
      <c r="H698" s="11">
        <v>0</v>
      </c>
      <c r="I698" s="11">
        <v>0</v>
      </c>
      <c r="J698" s="11">
        <v>0</v>
      </c>
      <c r="K698" s="11">
        <v>0</v>
      </c>
      <c r="L698" s="11">
        <v>2803600</v>
      </c>
      <c r="M698" s="11">
        <v>2797000</v>
      </c>
      <c r="N698" s="11">
        <v>0</v>
      </c>
    </row>
    <row r="699" spans="1:14" x14ac:dyDescent="0.3">
      <c r="A699" s="10">
        <v>46020</v>
      </c>
      <c r="B699" t="s">
        <v>19</v>
      </c>
      <c r="C699" t="str">
        <f t="shared" si="31"/>
        <v>342856178699</v>
      </c>
      <c r="D699" t="str">
        <f t="shared" si="32"/>
        <v>Client699</v>
      </c>
      <c r="E699" t="str">
        <f t="shared" si="30"/>
        <v>BOB699</v>
      </c>
      <c r="F699" t="s">
        <v>26</v>
      </c>
      <c r="G699" s="11" t="s">
        <v>27</v>
      </c>
      <c r="H699" s="11">
        <v>0</v>
      </c>
      <c r="I699" s="11">
        <v>0</v>
      </c>
      <c r="J699" s="11">
        <v>0</v>
      </c>
      <c r="K699" s="11">
        <v>0</v>
      </c>
      <c r="L699" s="11">
        <v>0</v>
      </c>
      <c r="M699" s="11">
        <v>0</v>
      </c>
      <c r="N699" s="11">
        <v>0</v>
      </c>
    </row>
    <row r="700" spans="1:14" x14ac:dyDescent="0.3">
      <c r="A700" s="10">
        <v>46020</v>
      </c>
      <c r="B700" t="s">
        <v>19</v>
      </c>
      <c r="C700" t="str">
        <f t="shared" si="31"/>
        <v>342856178700</v>
      </c>
      <c r="D700" t="str">
        <f t="shared" si="32"/>
        <v>Client700</v>
      </c>
      <c r="E700" t="str">
        <f t="shared" si="30"/>
        <v>BOB700</v>
      </c>
      <c r="G700" s="11"/>
      <c r="H700" s="11">
        <v>0</v>
      </c>
      <c r="I700" s="11">
        <v>0</v>
      </c>
      <c r="J700" s="11">
        <v>0</v>
      </c>
      <c r="K700" s="11">
        <v>3900000</v>
      </c>
      <c r="L700" s="11">
        <v>8988400</v>
      </c>
      <c r="M700" s="11">
        <v>13692000</v>
      </c>
      <c r="N700" s="11">
        <v>0</v>
      </c>
    </row>
    <row r="701" spans="1:14" x14ac:dyDescent="0.3">
      <c r="A701" s="10">
        <v>46020</v>
      </c>
      <c r="B701" t="s">
        <v>19</v>
      </c>
      <c r="C701" t="str">
        <f t="shared" si="31"/>
        <v>342856178701</v>
      </c>
      <c r="D701" t="str">
        <f t="shared" si="32"/>
        <v>Client701</v>
      </c>
      <c r="E701" t="str">
        <f t="shared" si="30"/>
        <v>BOB701</v>
      </c>
      <c r="F701" t="s">
        <v>21</v>
      </c>
      <c r="G701" s="11" t="s">
        <v>22</v>
      </c>
      <c r="H701" s="11">
        <v>0</v>
      </c>
      <c r="I701" s="11">
        <v>0</v>
      </c>
      <c r="J701" s="11">
        <v>35927500</v>
      </c>
      <c r="K701" s="11">
        <v>27380000</v>
      </c>
      <c r="L701" s="11">
        <v>21335700</v>
      </c>
      <c r="M701" s="11">
        <v>12442300</v>
      </c>
      <c r="N701" s="11">
        <v>0</v>
      </c>
    </row>
    <row r="702" spans="1:14" x14ac:dyDescent="0.3">
      <c r="A702" s="10">
        <v>46020</v>
      </c>
      <c r="B702" t="s">
        <v>19</v>
      </c>
      <c r="C702" t="str">
        <f t="shared" si="31"/>
        <v>342856178702</v>
      </c>
      <c r="D702" t="str">
        <f t="shared" si="32"/>
        <v>Client702</v>
      </c>
      <c r="E702" t="str">
        <f t="shared" si="30"/>
        <v>BOB702</v>
      </c>
      <c r="F702" t="s">
        <v>30</v>
      </c>
      <c r="G702" s="11" t="s">
        <v>22</v>
      </c>
      <c r="H702" s="11">
        <v>0</v>
      </c>
      <c r="I702" s="11">
        <v>0</v>
      </c>
      <c r="J702" s="11">
        <v>0</v>
      </c>
      <c r="K702" s="11">
        <v>0</v>
      </c>
      <c r="L702" s="11">
        <v>7418200</v>
      </c>
      <c r="M702" s="11">
        <v>9131800</v>
      </c>
      <c r="N702" s="11">
        <v>0</v>
      </c>
    </row>
    <row r="703" spans="1:14" x14ac:dyDescent="0.3">
      <c r="A703" s="10">
        <v>46020</v>
      </c>
      <c r="B703" t="s">
        <v>19</v>
      </c>
      <c r="C703" t="str">
        <f t="shared" si="31"/>
        <v>342856178703</v>
      </c>
      <c r="D703" t="str">
        <f t="shared" si="32"/>
        <v>Client703</v>
      </c>
      <c r="E703" t="str">
        <f t="shared" si="30"/>
        <v>BOB703</v>
      </c>
      <c r="F703" t="s">
        <v>30</v>
      </c>
      <c r="G703" s="11" t="s">
        <v>101</v>
      </c>
      <c r="H703" s="11">
        <v>0</v>
      </c>
      <c r="I703" s="11">
        <v>0</v>
      </c>
      <c r="J703" s="11">
        <v>500000</v>
      </c>
      <c r="K703" s="11">
        <v>7406000</v>
      </c>
      <c r="L703" s="11">
        <v>2768000</v>
      </c>
      <c r="M703" s="11">
        <v>13855100</v>
      </c>
      <c r="N703" s="11">
        <v>0</v>
      </c>
    </row>
    <row r="704" spans="1:14" x14ac:dyDescent="0.3">
      <c r="A704" s="10">
        <v>46020</v>
      </c>
      <c r="B704" t="s">
        <v>19</v>
      </c>
      <c r="C704" t="str">
        <f t="shared" si="31"/>
        <v>342856178704</v>
      </c>
      <c r="D704" t="str">
        <f t="shared" si="32"/>
        <v>Client704</v>
      </c>
      <c r="E704" t="str">
        <f t="shared" si="30"/>
        <v>BOB704</v>
      </c>
      <c r="G704" s="11"/>
      <c r="H704" s="11">
        <v>0</v>
      </c>
      <c r="I704" s="11">
        <v>0</v>
      </c>
      <c r="J704" s="11">
        <v>0</v>
      </c>
      <c r="K704" s="11">
        <v>0</v>
      </c>
      <c r="L704" s="11">
        <v>460700</v>
      </c>
      <c r="M704" s="11">
        <v>517500</v>
      </c>
      <c r="N704" s="11">
        <v>0</v>
      </c>
    </row>
    <row r="705" spans="1:14" x14ac:dyDescent="0.3">
      <c r="A705" s="10">
        <v>46020</v>
      </c>
      <c r="B705" t="s">
        <v>19</v>
      </c>
      <c r="C705" t="str">
        <f t="shared" si="31"/>
        <v>342856178705</v>
      </c>
      <c r="D705" t="str">
        <f t="shared" si="32"/>
        <v>Client705</v>
      </c>
      <c r="E705" t="str">
        <f t="shared" si="30"/>
        <v>BOB705</v>
      </c>
      <c r="F705" t="s">
        <v>32</v>
      </c>
      <c r="G705" s="11" t="s">
        <v>22</v>
      </c>
      <c r="H705" s="11">
        <v>0</v>
      </c>
      <c r="I705" s="11">
        <v>0</v>
      </c>
      <c r="J705" s="11">
        <v>0</v>
      </c>
      <c r="K705" s="11">
        <v>0</v>
      </c>
      <c r="L705" s="11">
        <v>2151000</v>
      </c>
      <c r="M705" s="11">
        <v>2501500</v>
      </c>
      <c r="N705" s="11">
        <v>0</v>
      </c>
    </row>
    <row r="706" spans="1:14" x14ac:dyDescent="0.3">
      <c r="A706" s="10">
        <v>46020</v>
      </c>
      <c r="B706" t="s">
        <v>19</v>
      </c>
      <c r="C706" t="str">
        <f t="shared" si="31"/>
        <v>342856178706</v>
      </c>
      <c r="D706" t="str">
        <f t="shared" si="32"/>
        <v>Client706</v>
      </c>
      <c r="E706" t="str">
        <f t="shared" si="30"/>
        <v>BOB706</v>
      </c>
      <c r="F706" t="s">
        <v>24</v>
      </c>
      <c r="G706" s="11" t="s">
        <v>22</v>
      </c>
      <c r="H706" s="11">
        <v>0</v>
      </c>
      <c r="I706" s="11">
        <v>0</v>
      </c>
      <c r="J706" s="11">
        <v>0</v>
      </c>
      <c r="K706" s="11">
        <v>0</v>
      </c>
      <c r="L706" s="11">
        <v>0</v>
      </c>
      <c r="M706" s="11">
        <v>0</v>
      </c>
      <c r="N706" s="11">
        <v>0</v>
      </c>
    </row>
    <row r="707" spans="1:14" x14ac:dyDescent="0.3">
      <c r="A707" s="10">
        <v>46020</v>
      </c>
      <c r="B707" t="s">
        <v>19</v>
      </c>
      <c r="C707" t="str">
        <f t="shared" si="31"/>
        <v>342856178707</v>
      </c>
      <c r="D707" t="str">
        <f t="shared" si="32"/>
        <v>Client707</v>
      </c>
      <c r="E707" t="str">
        <f t="shared" ref="E707:E770" si="33">"BOB"&amp;ROW()</f>
        <v>BOB707</v>
      </c>
      <c r="G707" s="11"/>
      <c r="H707" s="11">
        <v>0</v>
      </c>
      <c r="I707" s="11">
        <v>0</v>
      </c>
      <c r="J707" s="11">
        <v>0</v>
      </c>
      <c r="K707" s="11">
        <v>201500</v>
      </c>
      <c r="L707" s="11">
        <v>35600</v>
      </c>
      <c r="M707" s="11">
        <v>50000</v>
      </c>
      <c r="N707" s="11">
        <v>0</v>
      </c>
    </row>
    <row r="708" spans="1:14" x14ac:dyDescent="0.3">
      <c r="A708" s="10">
        <v>46020</v>
      </c>
      <c r="B708" t="s">
        <v>19</v>
      </c>
      <c r="C708" t="str">
        <f t="shared" ref="C708:C771" si="34" xml:space="preserve"> "342856178" &amp; ROW()</f>
        <v>342856178708</v>
      </c>
      <c r="D708" t="str">
        <f t="shared" ref="D708:D771" si="35">"Client"  &amp; ROW()</f>
        <v>Client708</v>
      </c>
      <c r="E708" t="str">
        <f t="shared" si="33"/>
        <v>BOB708</v>
      </c>
      <c r="G708" s="11"/>
      <c r="H708" s="11">
        <v>0</v>
      </c>
      <c r="I708" s="11">
        <v>0</v>
      </c>
      <c r="J708" s="11">
        <v>2279800</v>
      </c>
      <c r="K708" s="11">
        <v>1500000</v>
      </c>
      <c r="L708" s="11">
        <v>3933100</v>
      </c>
      <c r="M708" s="11">
        <v>2874900</v>
      </c>
      <c r="N708" s="11">
        <v>0</v>
      </c>
    </row>
    <row r="709" spans="1:14" x14ac:dyDescent="0.3">
      <c r="A709" s="10">
        <v>46020</v>
      </c>
      <c r="B709" t="s">
        <v>19</v>
      </c>
      <c r="C709" t="str">
        <f t="shared" si="34"/>
        <v>342856178709</v>
      </c>
      <c r="D709" t="str">
        <f t="shared" si="35"/>
        <v>Client709</v>
      </c>
      <c r="E709" t="str">
        <f t="shared" si="33"/>
        <v>BOB709</v>
      </c>
      <c r="F709" t="s">
        <v>26</v>
      </c>
      <c r="G709" s="11" t="s">
        <v>27</v>
      </c>
      <c r="H709" s="11">
        <v>0</v>
      </c>
      <c r="I709" s="11">
        <v>0</v>
      </c>
      <c r="J709" s="11">
        <v>0</v>
      </c>
      <c r="K709" s="11">
        <v>0</v>
      </c>
      <c r="L709" s="11">
        <v>21611300</v>
      </c>
      <c r="M709" s="11">
        <v>25271800</v>
      </c>
      <c r="N709" s="11">
        <v>0</v>
      </c>
    </row>
    <row r="710" spans="1:14" x14ac:dyDescent="0.3">
      <c r="A710" s="10">
        <v>46020</v>
      </c>
      <c r="B710" t="s">
        <v>19</v>
      </c>
      <c r="C710" t="str">
        <f t="shared" si="34"/>
        <v>342856178710</v>
      </c>
      <c r="D710" t="str">
        <f t="shared" si="35"/>
        <v>Client710</v>
      </c>
      <c r="E710" t="str">
        <f t="shared" si="33"/>
        <v>BOB710</v>
      </c>
      <c r="F710" t="s">
        <v>30</v>
      </c>
      <c r="G710" s="11" t="s">
        <v>87</v>
      </c>
      <c r="H710" s="11">
        <v>0</v>
      </c>
      <c r="I710" s="11">
        <v>0</v>
      </c>
      <c r="J710" s="11">
        <v>0</v>
      </c>
      <c r="K710" s="11">
        <v>693000</v>
      </c>
      <c r="L710" s="11">
        <v>276300</v>
      </c>
      <c r="M710" s="11">
        <v>456500</v>
      </c>
      <c r="N710" s="11">
        <v>0</v>
      </c>
    </row>
    <row r="711" spans="1:14" x14ac:dyDescent="0.3">
      <c r="A711" s="10">
        <v>46020</v>
      </c>
      <c r="B711" t="s">
        <v>19</v>
      </c>
      <c r="C711" t="str">
        <f t="shared" si="34"/>
        <v>342856178711</v>
      </c>
      <c r="D711" t="str">
        <f t="shared" si="35"/>
        <v>Client711</v>
      </c>
      <c r="E711" t="str">
        <f t="shared" si="33"/>
        <v>BOB711</v>
      </c>
      <c r="F711" t="s">
        <v>30</v>
      </c>
      <c r="G711" s="11" t="s">
        <v>22</v>
      </c>
      <c r="H711" s="11">
        <v>0</v>
      </c>
      <c r="I711" s="11">
        <v>0</v>
      </c>
      <c r="J711" s="11">
        <v>0</v>
      </c>
      <c r="K711" s="11">
        <v>4015000</v>
      </c>
      <c r="L711" s="11">
        <v>3705100</v>
      </c>
      <c r="M711" s="11">
        <v>10071100</v>
      </c>
      <c r="N711" s="11">
        <v>0</v>
      </c>
    </row>
    <row r="712" spans="1:14" x14ac:dyDescent="0.3">
      <c r="A712" s="10">
        <v>46020</v>
      </c>
      <c r="B712" t="s">
        <v>19</v>
      </c>
      <c r="C712" t="str">
        <f t="shared" si="34"/>
        <v>342856178712</v>
      </c>
      <c r="D712" t="str">
        <f t="shared" si="35"/>
        <v>Client712</v>
      </c>
      <c r="E712" t="str">
        <f t="shared" si="33"/>
        <v>BOB712</v>
      </c>
      <c r="G712" s="11"/>
      <c r="H712" s="11">
        <v>0</v>
      </c>
      <c r="I712" s="11">
        <v>0</v>
      </c>
      <c r="J712" s="11">
        <v>0</v>
      </c>
      <c r="K712" s="11">
        <v>3009000</v>
      </c>
      <c r="L712" s="11">
        <v>1805000</v>
      </c>
      <c r="M712" s="11">
        <v>4600900</v>
      </c>
      <c r="N712" s="11">
        <v>0</v>
      </c>
    </row>
    <row r="713" spans="1:14" x14ac:dyDescent="0.3">
      <c r="A713" s="10">
        <v>46020</v>
      </c>
      <c r="B713" t="s">
        <v>19</v>
      </c>
      <c r="C713" t="str">
        <f t="shared" si="34"/>
        <v>342856178713</v>
      </c>
      <c r="D713" t="str">
        <f t="shared" si="35"/>
        <v>Client713</v>
      </c>
      <c r="E713" t="str">
        <f t="shared" si="33"/>
        <v>BOB713</v>
      </c>
      <c r="F713" t="s">
        <v>26</v>
      </c>
      <c r="G713" s="11" t="s">
        <v>102</v>
      </c>
      <c r="H713" s="11">
        <v>0</v>
      </c>
      <c r="I713" s="11">
        <v>0</v>
      </c>
      <c r="J713" s="11">
        <v>1000000</v>
      </c>
      <c r="K713" s="11">
        <v>0</v>
      </c>
      <c r="L713" s="11">
        <v>5646600</v>
      </c>
      <c r="M713" s="11">
        <v>4802000</v>
      </c>
      <c r="N713" s="11">
        <v>0</v>
      </c>
    </row>
    <row r="714" spans="1:14" x14ac:dyDescent="0.3">
      <c r="A714" s="10">
        <v>46020</v>
      </c>
      <c r="B714" t="s">
        <v>19</v>
      </c>
      <c r="C714" t="str">
        <f t="shared" si="34"/>
        <v>342856178714</v>
      </c>
      <c r="D714" t="str">
        <f t="shared" si="35"/>
        <v>Client714</v>
      </c>
      <c r="E714" t="str">
        <f t="shared" si="33"/>
        <v>BOB714</v>
      </c>
      <c r="G714" s="11"/>
      <c r="H714" s="11">
        <v>0</v>
      </c>
      <c r="I714" s="11">
        <v>0</v>
      </c>
      <c r="J714" s="11">
        <v>0</v>
      </c>
      <c r="K714" s="11">
        <v>0</v>
      </c>
      <c r="L714" s="11">
        <v>0</v>
      </c>
      <c r="M714" s="11">
        <v>0</v>
      </c>
      <c r="N714" s="11">
        <v>0</v>
      </c>
    </row>
    <row r="715" spans="1:14" x14ac:dyDescent="0.3">
      <c r="A715" s="10">
        <v>46020</v>
      </c>
      <c r="B715" t="s">
        <v>19</v>
      </c>
      <c r="C715" t="str">
        <f t="shared" si="34"/>
        <v>342856178715</v>
      </c>
      <c r="D715" t="str">
        <f t="shared" si="35"/>
        <v>Client715</v>
      </c>
      <c r="E715" t="str">
        <f t="shared" si="33"/>
        <v>BOB715</v>
      </c>
      <c r="F715" t="s">
        <v>32</v>
      </c>
      <c r="G715" s="11" t="s">
        <v>22</v>
      </c>
      <c r="H715" s="11">
        <v>0</v>
      </c>
      <c r="I715" s="11">
        <v>0</v>
      </c>
      <c r="J715" s="11">
        <v>5740000</v>
      </c>
      <c r="K715" s="11">
        <v>11520000</v>
      </c>
      <c r="L715" s="11">
        <v>9779800</v>
      </c>
      <c r="M715" s="11">
        <v>14832500</v>
      </c>
      <c r="N715" s="11">
        <v>0</v>
      </c>
    </row>
    <row r="716" spans="1:14" x14ac:dyDescent="0.3">
      <c r="A716" s="10">
        <v>46020</v>
      </c>
      <c r="B716" t="s">
        <v>19</v>
      </c>
      <c r="C716" t="str">
        <f t="shared" si="34"/>
        <v>342856178716</v>
      </c>
      <c r="D716" t="str">
        <f t="shared" si="35"/>
        <v>Client716</v>
      </c>
      <c r="E716" t="str">
        <f t="shared" si="33"/>
        <v>BOB716</v>
      </c>
      <c r="F716" t="s">
        <v>21</v>
      </c>
      <c r="G716" s="11" t="s">
        <v>22</v>
      </c>
      <c r="H716" s="11">
        <v>0</v>
      </c>
      <c r="I716" s="11">
        <v>0</v>
      </c>
      <c r="J716" s="11">
        <v>0</v>
      </c>
      <c r="K716" s="11">
        <v>0</v>
      </c>
      <c r="L716" s="11">
        <v>7817300</v>
      </c>
      <c r="M716" s="11">
        <v>7792000</v>
      </c>
      <c r="N716" s="11">
        <v>0</v>
      </c>
    </row>
    <row r="717" spans="1:14" x14ac:dyDescent="0.3">
      <c r="A717" s="10">
        <v>46020</v>
      </c>
      <c r="B717" t="s">
        <v>19</v>
      </c>
      <c r="C717" t="str">
        <f t="shared" si="34"/>
        <v>342856178717</v>
      </c>
      <c r="D717" t="str">
        <f t="shared" si="35"/>
        <v>Client717</v>
      </c>
      <c r="E717" t="str">
        <f t="shared" si="33"/>
        <v>BOB717</v>
      </c>
      <c r="F717" t="s">
        <v>32</v>
      </c>
      <c r="G717" s="11" t="s">
        <v>22</v>
      </c>
      <c r="H717" s="11">
        <v>0</v>
      </c>
      <c r="I717" s="11">
        <v>26139000</v>
      </c>
      <c r="J717" s="11">
        <v>31756000</v>
      </c>
      <c r="K717" s="11">
        <v>9025600</v>
      </c>
      <c r="L717" s="11">
        <v>1725700</v>
      </c>
      <c r="M717" s="11">
        <v>6713000</v>
      </c>
      <c r="N717" s="11">
        <v>0</v>
      </c>
    </row>
    <row r="718" spans="1:14" x14ac:dyDescent="0.3">
      <c r="A718" s="10">
        <v>46020</v>
      </c>
      <c r="B718" t="s">
        <v>19</v>
      </c>
      <c r="C718" t="str">
        <f t="shared" si="34"/>
        <v>342856178718</v>
      </c>
      <c r="D718" t="str">
        <f t="shared" si="35"/>
        <v>Client718</v>
      </c>
      <c r="E718" t="str">
        <f t="shared" si="33"/>
        <v>BOB718</v>
      </c>
      <c r="F718" t="s">
        <v>26</v>
      </c>
      <c r="G718" s="11" t="s">
        <v>27</v>
      </c>
      <c r="H718" s="11">
        <v>0</v>
      </c>
      <c r="I718" s="11">
        <v>0</v>
      </c>
      <c r="J718" s="11">
        <v>2000000</v>
      </c>
      <c r="K718" s="11">
        <v>5005000</v>
      </c>
      <c r="L718" s="11">
        <v>31547500</v>
      </c>
      <c r="M718" s="11">
        <v>35738500</v>
      </c>
      <c r="N718" s="11">
        <v>0</v>
      </c>
    </row>
    <row r="719" spans="1:14" x14ac:dyDescent="0.3">
      <c r="A719" s="10">
        <v>46020</v>
      </c>
      <c r="B719" t="s">
        <v>19</v>
      </c>
      <c r="C719" t="str">
        <f t="shared" si="34"/>
        <v>342856178719</v>
      </c>
      <c r="D719" t="str">
        <f t="shared" si="35"/>
        <v>Client719</v>
      </c>
      <c r="E719" t="str">
        <f t="shared" si="33"/>
        <v>BOB719</v>
      </c>
      <c r="F719" t="s">
        <v>30</v>
      </c>
      <c r="G719" s="11" t="s">
        <v>101</v>
      </c>
      <c r="H719" s="11">
        <v>0</v>
      </c>
      <c r="I719" s="11">
        <v>0</v>
      </c>
      <c r="J719" s="11">
        <v>0</v>
      </c>
      <c r="K719" s="11">
        <v>0</v>
      </c>
      <c r="L719" s="11">
        <v>4200</v>
      </c>
      <c r="M719" s="11">
        <v>120000</v>
      </c>
      <c r="N719" s="11">
        <v>0</v>
      </c>
    </row>
    <row r="720" spans="1:14" x14ac:dyDescent="0.3">
      <c r="A720" s="10">
        <v>46020</v>
      </c>
      <c r="B720" t="s">
        <v>19</v>
      </c>
      <c r="C720" t="str">
        <f t="shared" si="34"/>
        <v>342856178720</v>
      </c>
      <c r="D720" t="str">
        <f t="shared" si="35"/>
        <v>Client720</v>
      </c>
      <c r="E720" t="str">
        <f t="shared" si="33"/>
        <v>BOB720</v>
      </c>
      <c r="F720" t="s">
        <v>24</v>
      </c>
      <c r="G720" s="11" t="s">
        <v>22</v>
      </c>
      <c r="H720" s="11">
        <v>0</v>
      </c>
      <c r="I720" s="11">
        <v>0</v>
      </c>
      <c r="J720" s="11">
        <v>0</v>
      </c>
      <c r="K720" s="11">
        <v>0</v>
      </c>
      <c r="L720" s="11">
        <v>840300</v>
      </c>
      <c r="M720" s="11">
        <v>250000</v>
      </c>
      <c r="N720" s="11">
        <v>0</v>
      </c>
    </row>
    <row r="721" spans="1:14" x14ac:dyDescent="0.3">
      <c r="A721" s="10">
        <v>46020</v>
      </c>
      <c r="B721" t="s">
        <v>19</v>
      </c>
      <c r="C721" t="str">
        <f t="shared" si="34"/>
        <v>342856178721</v>
      </c>
      <c r="D721" t="str">
        <f t="shared" si="35"/>
        <v>Client721</v>
      </c>
      <c r="E721" t="str">
        <f t="shared" si="33"/>
        <v>BOB721</v>
      </c>
      <c r="G721" s="11"/>
      <c r="H721" s="11">
        <v>0</v>
      </c>
      <c r="I721" s="11">
        <v>0</v>
      </c>
      <c r="J721" s="11">
        <v>0</v>
      </c>
      <c r="K721" s="11">
        <v>0</v>
      </c>
      <c r="L721" s="11">
        <v>0</v>
      </c>
      <c r="M721" s="11">
        <v>0</v>
      </c>
      <c r="N721" s="11">
        <v>0</v>
      </c>
    </row>
    <row r="722" spans="1:14" x14ac:dyDescent="0.3">
      <c r="A722" s="10">
        <v>46020</v>
      </c>
      <c r="B722" t="s">
        <v>19</v>
      </c>
      <c r="C722" t="str">
        <f t="shared" si="34"/>
        <v>342856178722</v>
      </c>
      <c r="D722" t="str">
        <f t="shared" si="35"/>
        <v>Client722</v>
      </c>
      <c r="E722" t="str">
        <f t="shared" si="33"/>
        <v>BOB722</v>
      </c>
      <c r="F722" t="s">
        <v>26</v>
      </c>
      <c r="G722" s="11" t="s">
        <v>27</v>
      </c>
      <c r="H722" s="11">
        <v>0</v>
      </c>
      <c r="I722" s="11">
        <v>0</v>
      </c>
      <c r="J722" s="11">
        <v>0</v>
      </c>
      <c r="K722" s="11">
        <v>3002000</v>
      </c>
      <c r="L722" s="11">
        <v>11738400</v>
      </c>
      <c r="M722" s="11">
        <v>15947500</v>
      </c>
      <c r="N722" s="11">
        <v>0</v>
      </c>
    </row>
    <row r="723" spans="1:14" x14ac:dyDescent="0.3">
      <c r="A723" s="10">
        <v>46020</v>
      </c>
      <c r="B723" t="s">
        <v>19</v>
      </c>
      <c r="C723" t="str">
        <f t="shared" si="34"/>
        <v>342856178723</v>
      </c>
      <c r="D723" t="str">
        <f t="shared" si="35"/>
        <v>Client723</v>
      </c>
      <c r="E723" t="str">
        <f t="shared" si="33"/>
        <v>BOB723</v>
      </c>
      <c r="F723" t="s">
        <v>21</v>
      </c>
      <c r="G723" s="11" t="s">
        <v>22</v>
      </c>
      <c r="H723" s="11">
        <v>0</v>
      </c>
      <c r="I723" s="11">
        <v>0</v>
      </c>
      <c r="J723" s="11">
        <v>0</v>
      </c>
      <c r="K723" s="11">
        <v>0</v>
      </c>
      <c r="L723" s="11">
        <v>616000</v>
      </c>
      <c r="M723" s="11">
        <v>393500</v>
      </c>
      <c r="N723" s="11">
        <v>0</v>
      </c>
    </row>
    <row r="724" spans="1:14" x14ac:dyDescent="0.3">
      <c r="A724" s="10">
        <v>46020</v>
      </c>
      <c r="B724" t="s">
        <v>19</v>
      </c>
      <c r="C724" t="str">
        <f t="shared" si="34"/>
        <v>342856178724</v>
      </c>
      <c r="D724" t="str">
        <f t="shared" si="35"/>
        <v>Client724</v>
      </c>
      <c r="E724" t="str">
        <f t="shared" si="33"/>
        <v>BOB724</v>
      </c>
      <c r="G724" s="11"/>
      <c r="H724" s="11">
        <v>0</v>
      </c>
      <c r="I724" s="11">
        <v>0</v>
      </c>
      <c r="J724" s="11">
        <v>0</v>
      </c>
      <c r="K724" s="11">
        <v>0</v>
      </c>
      <c r="L724" s="11">
        <v>0</v>
      </c>
      <c r="M724" s="11">
        <v>0</v>
      </c>
      <c r="N724" s="11">
        <v>0</v>
      </c>
    </row>
    <row r="725" spans="1:14" x14ac:dyDescent="0.3">
      <c r="A725" s="10">
        <v>46020</v>
      </c>
      <c r="B725" t="s">
        <v>19</v>
      </c>
      <c r="C725" t="str">
        <f t="shared" si="34"/>
        <v>342856178725</v>
      </c>
      <c r="D725" t="str">
        <f t="shared" si="35"/>
        <v>Client725</v>
      </c>
      <c r="E725" t="str">
        <f t="shared" si="33"/>
        <v>BOB725</v>
      </c>
      <c r="G725" s="11"/>
      <c r="H725" s="11">
        <v>0</v>
      </c>
      <c r="I725" s="11">
        <v>0</v>
      </c>
      <c r="J725" s="11">
        <v>0</v>
      </c>
      <c r="K725" s="11">
        <v>0</v>
      </c>
      <c r="L725" s="11">
        <v>228300</v>
      </c>
      <c r="M725" s="11">
        <v>279500</v>
      </c>
      <c r="N725" s="11">
        <v>0</v>
      </c>
    </row>
    <row r="726" spans="1:14" x14ac:dyDescent="0.3">
      <c r="A726" s="10">
        <v>46020</v>
      </c>
      <c r="B726" t="s">
        <v>19</v>
      </c>
      <c r="C726" t="str">
        <f t="shared" si="34"/>
        <v>342856178726</v>
      </c>
      <c r="D726" t="str">
        <f t="shared" si="35"/>
        <v>Client726</v>
      </c>
      <c r="E726" t="str">
        <f t="shared" si="33"/>
        <v>BOB726</v>
      </c>
      <c r="F726" t="s">
        <v>26</v>
      </c>
      <c r="G726" s="11" t="s">
        <v>27</v>
      </c>
      <c r="H726" s="11">
        <v>0</v>
      </c>
      <c r="I726" s="11">
        <v>0</v>
      </c>
      <c r="J726" s="11">
        <v>0</v>
      </c>
      <c r="K726" s="11">
        <v>9009000</v>
      </c>
      <c r="L726" s="11">
        <v>13367100</v>
      </c>
      <c r="M726" s="11">
        <v>24255000</v>
      </c>
      <c r="N726" s="11">
        <v>0</v>
      </c>
    </row>
    <row r="727" spans="1:14" x14ac:dyDescent="0.3">
      <c r="A727" s="10">
        <v>46020</v>
      </c>
      <c r="B727" t="s">
        <v>19</v>
      </c>
      <c r="C727" t="str">
        <f t="shared" si="34"/>
        <v>342856178727</v>
      </c>
      <c r="D727" t="str">
        <f t="shared" si="35"/>
        <v>Client727</v>
      </c>
      <c r="E727" t="str">
        <f t="shared" si="33"/>
        <v>BOB727</v>
      </c>
      <c r="F727" t="s">
        <v>30</v>
      </c>
      <c r="G727" s="11" t="s">
        <v>76</v>
      </c>
      <c r="H727" s="11">
        <v>0</v>
      </c>
      <c r="I727" s="11">
        <v>0</v>
      </c>
      <c r="J727" s="11">
        <v>0</v>
      </c>
      <c r="K727" s="11">
        <v>0</v>
      </c>
      <c r="L727" s="11">
        <v>601100</v>
      </c>
      <c r="M727" s="11">
        <v>927000</v>
      </c>
      <c r="N727" s="11">
        <v>0</v>
      </c>
    </row>
    <row r="728" spans="1:14" x14ac:dyDescent="0.3">
      <c r="A728" s="10">
        <v>46020</v>
      </c>
      <c r="B728" t="s">
        <v>19</v>
      </c>
      <c r="C728" t="str">
        <f t="shared" si="34"/>
        <v>342856178728</v>
      </c>
      <c r="D728" t="str">
        <f t="shared" si="35"/>
        <v>Client728</v>
      </c>
      <c r="E728" t="str">
        <f t="shared" si="33"/>
        <v>BOB728</v>
      </c>
      <c r="G728" s="11"/>
      <c r="H728" s="11">
        <v>0</v>
      </c>
      <c r="I728" s="11">
        <v>0</v>
      </c>
      <c r="J728" s="11">
        <v>0</v>
      </c>
      <c r="K728" s="11">
        <v>0</v>
      </c>
      <c r="L728" s="11">
        <v>16053800</v>
      </c>
      <c r="M728" s="11">
        <v>16826100</v>
      </c>
      <c r="N728" s="11">
        <v>0</v>
      </c>
    </row>
    <row r="729" spans="1:14" x14ac:dyDescent="0.3">
      <c r="A729" s="10">
        <v>46020</v>
      </c>
      <c r="B729" t="s">
        <v>19</v>
      </c>
      <c r="C729" t="str">
        <f t="shared" si="34"/>
        <v>342856178729</v>
      </c>
      <c r="D729" t="str">
        <f t="shared" si="35"/>
        <v>Client729</v>
      </c>
      <c r="E729" t="str">
        <f t="shared" si="33"/>
        <v>BOB729</v>
      </c>
      <c r="G729" s="11"/>
      <c r="H729" s="11">
        <v>0</v>
      </c>
      <c r="I729" s="11">
        <v>0</v>
      </c>
      <c r="J729" s="11">
        <v>0</v>
      </c>
      <c r="K729" s="11">
        <v>0</v>
      </c>
      <c r="L729" s="11">
        <v>0</v>
      </c>
      <c r="M729" s="11">
        <v>0</v>
      </c>
      <c r="N729" s="11">
        <v>0</v>
      </c>
    </row>
    <row r="730" spans="1:14" x14ac:dyDescent="0.3">
      <c r="A730" s="10">
        <v>46020</v>
      </c>
      <c r="B730" t="s">
        <v>19</v>
      </c>
      <c r="C730" t="str">
        <f t="shared" si="34"/>
        <v>342856178730</v>
      </c>
      <c r="D730" t="str">
        <f t="shared" si="35"/>
        <v>Client730</v>
      </c>
      <c r="E730" t="str">
        <f t="shared" si="33"/>
        <v>BOB730</v>
      </c>
      <c r="F730" t="s">
        <v>24</v>
      </c>
      <c r="G730" s="11" t="s">
        <v>22</v>
      </c>
      <c r="H730" s="11">
        <v>0</v>
      </c>
      <c r="I730" s="11">
        <v>0</v>
      </c>
      <c r="J730" s="11">
        <v>0</v>
      </c>
      <c r="K730" s="11">
        <v>0</v>
      </c>
      <c r="L730" s="11">
        <v>10923300</v>
      </c>
      <c r="M730" s="11">
        <v>8647800</v>
      </c>
      <c r="N730" s="11">
        <v>0</v>
      </c>
    </row>
    <row r="731" spans="1:14" x14ac:dyDescent="0.3">
      <c r="A731" s="10">
        <v>46020</v>
      </c>
      <c r="B731" t="s">
        <v>19</v>
      </c>
      <c r="C731" t="str">
        <f t="shared" si="34"/>
        <v>342856178731</v>
      </c>
      <c r="D731" t="str">
        <f t="shared" si="35"/>
        <v>Client731</v>
      </c>
      <c r="E731" t="str">
        <f t="shared" si="33"/>
        <v>BOB731</v>
      </c>
      <c r="F731" t="s">
        <v>21</v>
      </c>
      <c r="G731" s="11" t="s">
        <v>22</v>
      </c>
      <c r="H731" s="11">
        <v>0</v>
      </c>
      <c r="I731" s="11">
        <v>0</v>
      </c>
      <c r="J731" s="11">
        <v>0</v>
      </c>
      <c r="K731" s="11">
        <v>0</v>
      </c>
      <c r="L731" s="11">
        <v>3106300</v>
      </c>
      <c r="M731" s="11">
        <v>3272000</v>
      </c>
      <c r="N731" s="11">
        <v>0</v>
      </c>
    </row>
    <row r="732" spans="1:14" x14ac:dyDescent="0.3">
      <c r="A732" s="10">
        <v>46020</v>
      </c>
      <c r="B732" t="s">
        <v>19</v>
      </c>
      <c r="C732" t="str">
        <f t="shared" si="34"/>
        <v>342856178732</v>
      </c>
      <c r="D732" t="str">
        <f t="shared" si="35"/>
        <v>Client732</v>
      </c>
      <c r="E732" t="str">
        <f t="shared" si="33"/>
        <v>BOB732</v>
      </c>
      <c r="F732" t="s">
        <v>24</v>
      </c>
      <c r="G732" s="11" t="s">
        <v>22</v>
      </c>
      <c r="H732" s="11">
        <v>0</v>
      </c>
      <c r="I732" s="11">
        <v>0</v>
      </c>
      <c r="J732" s="11">
        <v>0</v>
      </c>
      <c r="K732" s="11">
        <v>1001500</v>
      </c>
      <c r="L732" s="11">
        <v>1680900</v>
      </c>
      <c r="M732" s="11">
        <v>2832000</v>
      </c>
      <c r="N732" s="11">
        <v>0</v>
      </c>
    </row>
    <row r="733" spans="1:14" x14ac:dyDescent="0.3">
      <c r="A733" s="10">
        <v>46020</v>
      </c>
      <c r="B733" t="s">
        <v>19</v>
      </c>
      <c r="C733" t="str">
        <f t="shared" si="34"/>
        <v>342856178733</v>
      </c>
      <c r="D733" t="str">
        <f t="shared" si="35"/>
        <v>Client733</v>
      </c>
      <c r="E733" t="str">
        <f t="shared" si="33"/>
        <v>BOB733</v>
      </c>
      <c r="F733" t="s">
        <v>21</v>
      </c>
      <c r="G733" s="11" t="s">
        <v>22</v>
      </c>
      <c r="H733" s="11">
        <v>0</v>
      </c>
      <c r="I733" s="11">
        <v>0</v>
      </c>
      <c r="J733" s="11">
        <v>0</v>
      </c>
      <c r="K733" s="11">
        <v>0</v>
      </c>
      <c r="L733" s="11">
        <v>211500</v>
      </c>
      <c r="M733" s="11">
        <v>255000</v>
      </c>
      <c r="N733" s="11">
        <v>0</v>
      </c>
    </row>
    <row r="734" spans="1:14" x14ac:dyDescent="0.3">
      <c r="A734" s="10">
        <v>46020</v>
      </c>
      <c r="B734" t="s">
        <v>19</v>
      </c>
      <c r="C734" t="str">
        <f t="shared" si="34"/>
        <v>342856178734</v>
      </c>
      <c r="D734" t="str">
        <f t="shared" si="35"/>
        <v>Client734</v>
      </c>
      <c r="E734" t="str">
        <f t="shared" si="33"/>
        <v>BOB734</v>
      </c>
      <c r="F734" t="s">
        <v>21</v>
      </c>
      <c r="G734" s="11" t="s">
        <v>22</v>
      </c>
      <c r="H734" s="11">
        <v>0</v>
      </c>
      <c r="I734" s="11">
        <v>0</v>
      </c>
      <c r="J734" s="11">
        <v>0</v>
      </c>
      <c r="K734" s="11">
        <v>0</v>
      </c>
      <c r="L734" s="11">
        <v>64068600</v>
      </c>
      <c r="M734" s="11">
        <v>67884300</v>
      </c>
      <c r="N734" s="11">
        <v>0</v>
      </c>
    </row>
    <row r="735" spans="1:14" x14ac:dyDescent="0.3">
      <c r="A735" s="10">
        <v>46020</v>
      </c>
      <c r="B735" t="s">
        <v>19</v>
      </c>
      <c r="C735" t="str">
        <f t="shared" si="34"/>
        <v>342856178735</v>
      </c>
      <c r="D735" t="str">
        <f t="shared" si="35"/>
        <v>Client735</v>
      </c>
      <c r="E735" t="str">
        <f t="shared" si="33"/>
        <v>BOB735</v>
      </c>
      <c r="F735" t="s">
        <v>21</v>
      </c>
      <c r="G735" s="11" t="s">
        <v>22</v>
      </c>
      <c r="H735" s="11">
        <v>0</v>
      </c>
      <c r="I735" s="11">
        <v>0</v>
      </c>
      <c r="J735" s="11">
        <v>0</v>
      </c>
      <c r="K735" s="11">
        <v>0</v>
      </c>
      <c r="L735" s="11">
        <v>9574600</v>
      </c>
      <c r="M735" s="11">
        <v>9233200</v>
      </c>
      <c r="N735" s="11">
        <v>0</v>
      </c>
    </row>
    <row r="736" spans="1:14" x14ac:dyDescent="0.3">
      <c r="A736" s="10">
        <v>46020</v>
      </c>
      <c r="B736" t="s">
        <v>19</v>
      </c>
      <c r="C736" t="str">
        <f t="shared" si="34"/>
        <v>342856178736</v>
      </c>
      <c r="D736" t="str">
        <f t="shared" si="35"/>
        <v>Client736</v>
      </c>
      <c r="E736" t="str">
        <f t="shared" si="33"/>
        <v>BOB736</v>
      </c>
      <c r="F736" t="s">
        <v>24</v>
      </c>
      <c r="G736" s="11" t="s">
        <v>22</v>
      </c>
      <c r="H736" s="11">
        <v>0</v>
      </c>
      <c r="I736" s="11">
        <v>0</v>
      </c>
      <c r="J736" s="11">
        <v>2000000</v>
      </c>
      <c r="K736" s="11">
        <v>0</v>
      </c>
      <c r="L736" s="11">
        <v>25819000</v>
      </c>
      <c r="M736" s="11">
        <v>19748000</v>
      </c>
      <c r="N736" s="11">
        <v>4500000</v>
      </c>
    </row>
    <row r="737" spans="1:14" x14ac:dyDescent="0.3">
      <c r="A737" s="10">
        <v>46020</v>
      </c>
      <c r="B737" t="s">
        <v>19</v>
      </c>
      <c r="C737" t="str">
        <f t="shared" si="34"/>
        <v>342856178737</v>
      </c>
      <c r="D737" t="str">
        <f t="shared" si="35"/>
        <v>Client737</v>
      </c>
      <c r="E737" t="str">
        <f t="shared" si="33"/>
        <v>BOB737</v>
      </c>
      <c r="F737" t="s">
        <v>30</v>
      </c>
      <c r="G737" s="11" t="s">
        <v>83</v>
      </c>
      <c r="H737" s="11">
        <v>0</v>
      </c>
      <c r="I737" s="11">
        <v>0</v>
      </c>
      <c r="J737" s="11">
        <v>0</v>
      </c>
      <c r="K737" s="11">
        <v>202000</v>
      </c>
      <c r="L737" s="11">
        <v>119100</v>
      </c>
      <c r="M737" s="11">
        <v>510500</v>
      </c>
      <c r="N737" s="11">
        <v>0</v>
      </c>
    </row>
    <row r="738" spans="1:14" x14ac:dyDescent="0.3">
      <c r="A738" s="10">
        <v>46020</v>
      </c>
      <c r="B738" t="s">
        <v>19</v>
      </c>
      <c r="C738" t="str">
        <f t="shared" si="34"/>
        <v>342856178738</v>
      </c>
      <c r="D738" t="str">
        <f t="shared" si="35"/>
        <v>Client738</v>
      </c>
      <c r="E738" t="str">
        <f t="shared" si="33"/>
        <v>BOB738</v>
      </c>
      <c r="G738" s="11"/>
      <c r="H738" s="11">
        <v>0</v>
      </c>
      <c r="I738" s="11">
        <v>600000</v>
      </c>
      <c r="J738" s="11">
        <v>6000000</v>
      </c>
      <c r="K738" s="11">
        <v>0</v>
      </c>
      <c r="L738" s="11">
        <v>9923500</v>
      </c>
      <c r="M738" s="11">
        <v>4549500</v>
      </c>
      <c r="N738" s="11">
        <v>0</v>
      </c>
    </row>
    <row r="739" spans="1:14" x14ac:dyDescent="0.3">
      <c r="A739" s="10">
        <v>46020</v>
      </c>
      <c r="B739" t="s">
        <v>19</v>
      </c>
      <c r="C739" t="str">
        <f t="shared" si="34"/>
        <v>342856178739</v>
      </c>
      <c r="D739" t="str">
        <f t="shared" si="35"/>
        <v>Client739</v>
      </c>
      <c r="E739" t="str">
        <f t="shared" si="33"/>
        <v>BOB739</v>
      </c>
      <c r="G739" s="11"/>
      <c r="H739" s="11">
        <v>0</v>
      </c>
      <c r="I739" s="11">
        <v>0</v>
      </c>
      <c r="J739" s="11">
        <v>0</v>
      </c>
      <c r="K739" s="11">
        <v>0</v>
      </c>
      <c r="L739" s="11">
        <v>0</v>
      </c>
      <c r="M739" s="11">
        <v>0</v>
      </c>
      <c r="N739" s="11">
        <v>0</v>
      </c>
    </row>
    <row r="740" spans="1:14" x14ac:dyDescent="0.3">
      <c r="A740" s="10">
        <v>46020</v>
      </c>
      <c r="B740" t="s">
        <v>19</v>
      </c>
      <c r="C740" t="str">
        <f t="shared" si="34"/>
        <v>342856178740</v>
      </c>
      <c r="D740" t="str">
        <f t="shared" si="35"/>
        <v>Client740</v>
      </c>
      <c r="E740" t="str">
        <f t="shared" si="33"/>
        <v>BOB740</v>
      </c>
      <c r="G740" s="11"/>
      <c r="H740" s="11">
        <v>0</v>
      </c>
      <c r="I740" s="11">
        <v>0</v>
      </c>
      <c r="J740" s="11">
        <v>0</v>
      </c>
      <c r="K740" s="11">
        <v>0</v>
      </c>
      <c r="L740" s="11">
        <v>1609400</v>
      </c>
      <c r="M740" s="11">
        <v>1477200</v>
      </c>
      <c r="N740" s="11">
        <v>0</v>
      </c>
    </row>
    <row r="741" spans="1:14" x14ac:dyDescent="0.3">
      <c r="A741" s="10">
        <v>46020</v>
      </c>
      <c r="B741" t="s">
        <v>19</v>
      </c>
      <c r="C741" t="str">
        <f t="shared" si="34"/>
        <v>342856178741</v>
      </c>
      <c r="D741" t="str">
        <f t="shared" si="35"/>
        <v>Client741</v>
      </c>
      <c r="E741" t="str">
        <f t="shared" si="33"/>
        <v>BOB741</v>
      </c>
      <c r="G741" s="11"/>
      <c r="H741" s="11">
        <v>0</v>
      </c>
      <c r="I741" s="11">
        <v>0</v>
      </c>
      <c r="J741" s="11">
        <v>0</v>
      </c>
      <c r="K741" s="11">
        <v>0</v>
      </c>
      <c r="L741" s="11">
        <v>4037000</v>
      </c>
      <c r="M741" s="11">
        <v>4561200</v>
      </c>
      <c r="N741" s="11">
        <v>0</v>
      </c>
    </row>
    <row r="742" spans="1:14" x14ac:dyDescent="0.3">
      <c r="A742" s="10">
        <v>46020</v>
      </c>
      <c r="B742" t="s">
        <v>19</v>
      </c>
      <c r="C742" t="str">
        <f t="shared" si="34"/>
        <v>342856178742</v>
      </c>
      <c r="D742" t="str">
        <f t="shared" si="35"/>
        <v>Client742</v>
      </c>
      <c r="E742" t="str">
        <f t="shared" si="33"/>
        <v>BOB742</v>
      </c>
      <c r="F742" t="s">
        <v>24</v>
      </c>
      <c r="G742" s="11" t="s">
        <v>22</v>
      </c>
      <c r="H742" s="11">
        <v>0</v>
      </c>
      <c r="I742" s="11">
        <v>0</v>
      </c>
      <c r="J742" s="11">
        <v>0</v>
      </c>
      <c r="K742" s="11">
        <v>851500</v>
      </c>
      <c r="L742" s="11">
        <v>5188200</v>
      </c>
      <c r="M742" s="11">
        <v>5817000</v>
      </c>
      <c r="N742" s="11">
        <v>0</v>
      </c>
    </row>
    <row r="743" spans="1:14" x14ac:dyDescent="0.3">
      <c r="A743" s="10">
        <v>46020</v>
      </c>
      <c r="B743" t="s">
        <v>19</v>
      </c>
      <c r="C743" t="str">
        <f t="shared" si="34"/>
        <v>342856178743</v>
      </c>
      <c r="D743" t="str">
        <f t="shared" si="35"/>
        <v>Client743</v>
      </c>
      <c r="E743" t="str">
        <f t="shared" si="33"/>
        <v>BOB743</v>
      </c>
      <c r="G743" s="11"/>
      <c r="H743" s="11">
        <v>0</v>
      </c>
      <c r="I743" s="11">
        <v>0</v>
      </c>
      <c r="J743" s="11">
        <v>0</v>
      </c>
      <c r="K743" s="11">
        <v>10015000</v>
      </c>
      <c r="L743" s="11">
        <v>23169500</v>
      </c>
      <c r="M743" s="11">
        <v>36828300</v>
      </c>
      <c r="N743" s="11">
        <v>0</v>
      </c>
    </row>
    <row r="744" spans="1:14" x14ac:dyDescent="0.3">
      <c r="A744" s="10">
        <v>46020</v>
      </c>
      <c r="B744" t="s">
        <v>19</v>
      </c>
      <c r="C744" t="str">
        <f t="shared" si="34"/>
        <v>342856178744</v>
      </c>
      <c r="D744" t="str">
        <f t="shared" si="35"/>
        <v>Client744</v>
      </c>
      <c r="E744" t="str">
        <f t="shared" si="33"/>
        <v>BOB744</v>
      </c>
      <c r="F744" t="s">
        <v>30</v>
      </c>
      <c r="G744" s="11" t="s">
        <v>70</v>
      </c>
      <c r="H744" s="11">
        <v>0</v>
      </c>
      <c r="I744" s="11">
        <v>0</v>
      </c>
      <c r="J744" s="11">
        <v>0</v>
      </c>
      <c r="K744" s="11">
        <v>0</v>
      </c>
      <c r="L744" s="11">
        <v>1438500</v>
      </c>
      <c r="M744" s="11">
        <v>1109000</v>
      </c>
      <c r="N744" s="11">
        <v>0</v>
      </c>
    </row>
    <row r="745" spans="1:14" x14ac:dyDescent="0.3">
      <c r="A745" s="10">
        <v>46020</v>
      </c>
      <c r="B745" t="s">
        <v>19</v>
      </c>
      <c r="C745" t="str">
        <f t="shared" si="34"/>
        <v>342856178745</v>
      </c>
      <c r="D745" t="str">
        <f t="shared" si="35"/>
        <v>Client745</v>
      </c>
      <c r="E745" t="str">
        <f t="shared" si="33"/>
        <v>BOB745</v>
      </c>
      <c r="F745" t="s">
        <v>21</v>
      </c>
      <c r="G745" s="11" t="s">
        <v>22</v>
      </c>
      <c r="H745" s="11">
        <v>0</v>
      </c>
      <c r="I745" s="11">
        <v>0</v>
      </c>
      <c r="J745" s="11">
        <v>0</v>
      </c>
      <c r="K745" s="11">
        <v>0</v>
      </c>
      <c r="L745" s="11">
        <v>0</v>
      </c>
      <c r="M745" s="11">
        <v>124900</v>
      </c>
      <c r="N745" s="11">
        <v>0</v>
      </c>
    </row>
    <row r="746" spans="1:14" x14ac:dyDescent="0.3">
      <c r="A746" s="10">
        <v>46020</v>
      </c>
      <c r="B746" t="s">
        <v>19</v>
      </c>
      <c r="C746" t="str">
        <f t="shared" si="34"/>
        <v>342856178746</v>
      </c>
      <c r="D746" t="str">
        <f t="shared" si="35"/>
        <v>Client746</v>
      </c>
      <c r="E746" t="str">
        <f t="shared" si="33"/>
        <v>BOB746</v>
      </c>
      <c r="F746" t="s">
        <v>24</v>
      </c>
      <c r="G746" s="11" t="s">
        <v>22</v>
      </c>
      <c r="H746" s="11">
        <v>0</v>
      </c>
      <c r="I746" s="11">
        <v>0</v>
      </c>
      <c r="J746" s="11">
        <v>0</v>
      </c>
      <c r="K746" s="11">
        <v>5000000</v>
      </c>
      <c r="L746" s="11">
        <v>902600</v>
      </c>
      <c r="M746" s="11">
        <v>200000</v>
      </c>
      <c r="N746" s="11">
        <v>0</v>
      </c>
    </row>
    <row r="747" spans="1:14" x14ac:dyDescent="0.3">
      <c r="A747" s="10">
        <v>46020</v>
      </c>
      <c r="B747" t="s">
        <v>19</v>
      </c>
      <c r="C747" t="str">
        <f t="shared" si="34"/>
        <v>342856178747</v>
      </c>
      <c r="D747" t="str">
        <f t="shared" si="35"/>
        <v>Client747</v>
      </c>
      <c r="E747" t="str">
        <f t="shared" si="33"/>
        <v>BOB747</v>
      </c>
      <c r="F747" t="s">
        <v>30</v>
      </c>
      <c r="G747" s="11" t="s">
        <v>22</v>
      </c>
      <c r="H747" s="11">
        <v>231549200</v>
      </c>
      <c r="I747" s="11">
        <v>4251500</v>
      </c>
      <c r="J747" s="11">
        <v>0</v>
      </c>
      <c r="K747" s="11">
        <v>0</v>
      </c>
      <c r="L747" s="11">
        <v>238136200</v>
      </c>
      <c r="M747" s="11">
        <v>10415900</v>
      </c>
      <c r="N747" s="11">
        <v>0</v>
      </c>
    </row>
    <row r="748" spans="1:14" x14ac:dyDescent="0.3">
      <c r="A748" s="10">
        <v>46020</v>
      </c>
      <c r="B748" t="s">
        <v>19</v>
      </c>
      <c r="C748" t="str">
        <f t="shared" si="34"/>
        <v>342856178748</v>
      </c>
      <c r="D748" t="str">
        <f t="shared" si="35"/>
        <v>Client748</v>
      </c>
      <c r="E748" t="str">
        <f t="shared" si="33"/>
        <v>BOB748</v>
      </c>
      <c r="F748" t="s">
        <v>32</v>
      </c>
      <c r="G748" s="11" t="s">
        <v>22</v>
      </c>
      <c r="H748" s="11">
        <v>17000000</v>
      </c>
      <c r="I748" s="11">
        <v>692000</v>
      </c>
      <c r="J748" s="11">
        <v>16550000</v>
      </c>
      <c r="K748" s="11">
        <v>7798500</v>
      </c>
      <c r="L748" s="11">
        <v>32626200</v>
      </c>
      <c r="M748" s="11">
        <v>6394900</v>
      </c>
      <c r="N748" s="11">
        <v>0</v>
      </c>
    </row>
    <row r="749" spans="1:14" x14ac:dyDescent="0.3">
      <c r="A749" s="10">
        <v>46020</v>
      </c>
      <c r="B749" t="s">
        <v>19</v>
      </c>
      <c r="C749" t="str">
        <f t="shared" si="34"/>
        <v>342856178749</v>
      </c>
      <c r="D749" t="str">
        <f t="shared" si="35"/>
        <v>Client749</v>
      </c>
      <c r="E749" t="str">
        <f t="shared" si="33"/>
        <v>BOB749</v>
      </c>
      <c r="F749" t="s">
        <v>21</v>
      </c>
      <c r="G749" s="11" t="s">
        <v>22</v>
      </c>
      <c r="H749" s="11">
        <v>0</v>
      </c>
      <c r="I749" s="11">
        <v>0</v>
      </c>
      <c r="J749" s="11">
        <v>0</v>
      </c>
      <c r="K749" s="11">
        <v>0</v>
      </c>
      <c r="L749" s="11">
        <v>14521700</v>
      </c>
      <c r="M749" s="11">
        <v>12593100</v>
      </c>
      <c r="N749" s="11">
        <v>0</v>
      </c>
    </row>
    <row r="750" spans="1:14" x14ac:dyDescent="0.3">
      <c r="A750" s="10">
        <v>46020</v>
      </c>
      <c r="B750" t="s">
        <v>19</v>
      </c>
      <c r="C750" t="str">
        <f t="shared" si="34"/>
        <v>342856178750</v>
      </c>
      <c r="D750" t="str">
        <f t="shared" si="35"/>
        <v>Client750</v>
      </c>
      <c r="E750" t="str">
        <f t="shared" si="33"/>
        <v>BOB750</v>
      </c>
      <c r="F750" t="s">
        <v>24</v>
      </c>
      <c r="G750" s="11" t="s">
        <v>22</v>
      </c>
      <c r="H750" s="11">
        <v>0</v>
      </c>
      <c r="I750" s="11">
        <v>0</v>
      </c>
      <c r="J750" s="11">
        <v>0</v>
      </c>
      <c r="K750" s="11">
        <v>0</v>
      </c>
      <c r="L750" s="11">
        <v>2373000</v>
      </c>
      <c r="M750" s="11">
        <v>2912500</v>
      </c>
      <c r="N750" s="11">
        <v>0</v>
      </c>
    </row>
    <row r="751" spans="1:14" x14ac:dyDescent="0.3">
      <c r="A751" s="10">
        <v>46020</v>
      </c>
      <c r="B751" t="s">
        <v>19</v>
      </c>
      <c r="C751" t="str">
        <f t="shared" si="34"/>
        <v>342856178751</v>
      </c>
      <c r="D751" t="str">
        <f t="shared" si="35"/>
        <v>Client751</v>
      </c>
      <c r="E751" t="str">
        <f t="shared" si="33"/>
        <v>BOB751</v>
      </c>
      <c r="F751" t="s">
        <v>26</v>
      </c>
      <c r="G751" s="11" t="s">
        <v>27</v>
      </c>
      <c r="H751" s="11">
        <v>0</v>
      </c>
      <c r="I751" s="11">
        <v>0</v>
      </c>
      <c r="J751" s="11">
        <v>0</v>
      </c>
      <c r="K751" s="11">
        <v>400400</v>
      </c>
      <c r="L751" s="11">
        <v>1560600</v>
      </c>
      <c r="M751" s="11">
        <v>3176200</v>
      </c>
      <c r="N751" s="11">
        <v>0</v>
      </c>
    </row>
    <row r="752" spans="1:14" x14ac:dyDescent="0.3">
      <c r="A752" s="10">
        <v>46020</v>
      </c>
      <c r="B752" t="s">
        <v>19</v>
      </c>
      <c r="C752" t="str">
        <f t="shared" si="34"/>
        <v>342856178752</v>
      </c>
      <c r="D752" t="str">
        <f t="shared" si="35"/>
        <v>Client752</v>
      </c>
      <c r="E752" t="str">
        <f t="shared" si="33"/>
        <v>BOB752</v>
      </c>
      <c r="F752" t="s">
        <v>73</v>
      </c>
      <c r="G752" s="11" t="s">
        <v>103</v>
      </c>
      <c r="H752" s="11">
        <v>0</v>
      </c>
      <c r="I752" s="11">
        <v>0</v>
      </c>
      <c r="J752" s="11">
        <v>0</v>
      </c>
      <c r="K752" s="11">
        <v>0</v>
      </c>
      <c r="L752" s="11">
        <v>10000</v>
      </c>
      <c r="M752" s="11">
        <v>120000</v>
      </c>
      <c r="N752" s="11">
        <v>0</v>
      </c>
    </row>
    <row r="753" spans="1:14" x14ac:dyDescent="0.3">
      <c r="A753" s="10">
        <v>46020</v>
      </c>
      <c r="B753" t="s">
        <v>19</v>
      </c>
      <c r="C753" t="str">
        <f t="shared" si="34"/>
        <v>342856178753</v>
      </c>
      <c r="D753" t="str">
        <f t="shared" si="35"/>
        <v>Client753</v>
      </c>
      <c r="E753" t="str">
        <f t="shared" si="33"/>
        <v>BOB753</v>
      </c>
      <c r="F753" t="s">
        <v>32</v>
      </c>
      <c r="G753" s="11" t="s">
        <v>22</v>
      </c>
      <c r="H753" s="11">
        <v>0</v>
      </c>
      <c r="I753" s="11">
        <v>0</v>
      </c>
      <c r="J753" s="11">
        <v>2101000</v>
      </c>
      <c r="K753" s="11">
        <v>4325000</v>
      </c>
      <c r="L753" s="11">
        <v>11002100</v>
      </c>
      <c r="M753" s="11">
        <v>13265300</v>
      </c>
      <c r="N753" s="11">
        <v>0</v>
      </c>
    </row>
    <row r="754" spans="1:14" x14ac:dyDescent="0.3">
      <c r="A754" s="10">
        <v>46020</v>
      </c>
      <c r="B754" t="s">
        <v>19</v>
      </c>
      <c r="C754" t="str">
        <f t="shared" si="34"/>
        <v>342856178754</v>
      </c>
      <c r="D754" t="str">
        <f t="shared" si="35"/>
        <v>Client754</v>
      </c>
      <c r="E754" t="str">
        <f t="shared" si="33"/>
        <v>BOB754</v>
      </c>
      <c r="F754" t="s">
        <v>30</v>
      </c>
      <c r="G754" s="11" t="s">
        <v>70</v>
      </c>
      <c r="H754" s="11">
        <v>0</v>
      </c>
      <c r="I754" s="11">
        <v>0</v>
      </c>
      <c r="J754" s="11">
        <v>0</v>
      </c>
      <c r="K754" s="11">
        <v>1003000</v>
      </c>
      <c r="L754" s="11">
        <v>6316200</v>
      </c>
      <c r="M754" s="11">
        <v>9284600</v>
      </c>
      <c r="N754" s="11">
        <v>0</v>
      </c>
    </row>
    <row r="755" spans="1:14" x14ac:dyDescent="0.3">
      <c r="A755" s="10">
        <v>46020</v>
      </c>
      <c r="B755" t="s">
        <v>19</v>
      </c>
      <c r="C755" t="str">
        <f t="shared" si="34"/>
        <v>342856178755</v>
      </c>
      <c r="D755" t="str">
        <f t="shared" si="35"/>
        <v>Client755</v>
      </c>
      <c r="E755" t="str">
        <f t="shared" si="33"/>
        <v>BOB755</v>
      </c>
      <c r="F755" t="s">
        <v>26</v>
      </c>
      <c r="G755" s="11" t="s">
        <v>27</v>
      </c>
      <c r="H755" s="11">
        <v>0</v>
      </c>
      <c r="I755" s="11">
        <v>0</v>
      </c>
      <c r="J755" s="11">
        <v>0</v>
      </c>
      <c r="K755" s="11">
        <v>0</v>
      </c>
      <c r="L755" s="11">
        <v>3913000</v>
      </c>
      <c r="M755" s="11">
        <v>3488000</v>
      </c>
      <c r="N755" s="11">
        <v>0</v>
      </c>
    </row>
    <row r="756" spans="1:14" x14ac:dyDescent="0.3">
      <c r="A756" s="10">
        <v>46020</v>
      </c>
      <c r="B756" t="s">
        <v>19</v>
      </c>
      <c r="C756" t="str">
        <f t="shared" si="34"/>
        <v>342856178756</v>
      </c>
      <c r="D756" t="str">
        <f t="shared" si="35"/>
        <v>Client756</v>
      </c>
      <c r="E756" t="str">
        <f t="shared" si="33"/>
        <v>BOB756</v>
      </c>
      <c r="G756" s="11"/>
      <c r="H756" s="11">
        <v>0</v>
      </c>
      <c r="I756" s="11">
        <v>0</v>
      </c>
      <c r="J756" s="11">
        <v>3992000</v>
      </c>
      <c r="K756" s="11">
        <v>1613000</v>
      </c>
      <c r="L756" s="11">
        <v>13026100</v>
      </c>
      <c r="M756" s="11">
        <v>11146300</v>
      </c>
      <c r="N756" s="11">
        <v>0</v>
      </c>
    </row>
    <row r="757" spans="1:14" x14ac:dyDescent="0.3">
      <c r="A757" s="10">
        <v>46020</v>
      </c>
      <c r="B757" t="s">
        <v>19</v>
      </c>
      <c r="C757" t="str">
        <f t="shared" si="34"/>
        <v>342856178757</v>
      </c>
      <c r="D757" t="str">
        <f t="shared" si="35"/>
        <v>Client757</v>
      </c>
      <c r="E757" t="str">
        <f t="shared" si="33"/>
        <v>BOB757</v>
      </c>
      <c r="F757" t="s">
        <v>32</v>
      </c>
      <c r="G757" s="11" t="s">
        <v>22</v>
      </c>
      <c r="H757" s="11">
        <v>0</v>
      </c>
      <c r="I757" s="11">
        <v>600000</v>
      </c>
      <c r="J757" s="11">
        <v>0</v>
      </c>
      <c r="K757" s="11">
        <v>0</v>
      </c>
      <c r="L757" s="11">
        <v>4368300</v>
      </c>
      <c r="M757" s="11">
        <v>5321600</v>
      </c>
      <c r="N757" s="11">
        <v>0</v>
      </c>
    </row>
    <row r="758" spans="1:14" x14ac:dyDescent="0.3">
      <c r="A758" s="10">
        <v>46020</v>
      </c>
      <c r="B758" t="s">
        <v>19</v>
      </c>
      <c r="C758" t="str">
        <f t="shared" si="34"/>
        <v>342856178758</v>
      </c>
      <c r="D758" t="str">
        <f t="shared" si="35"/>
        <v>Client758</v>
      </c>
      <c r="E758" t="str">
        <f t="shared" si="33"/>
        <v>BOB758</v>
      </c>
      <c r="F758" t="s">
        <v>24</v>
      </c>
      <c r="G758" s="11" t="s">
        <v>22</v>
      </c>
      <c r="H758" s="11">
        <v>0</v>
      </c>
      <c r="I758" s="11">
        <v>0</v>
      </c>
      <c r="J758" s="11">
        <v>0</v>
      </c>
      <c r="K758" s="11">
        <v>0</v>
      </c>
      <c r="L758" s="11">
        <v>4338200</v>
      </c>
      <c r="M758" s="11">
        <v>4394400</v>
      </c>
      <c r="N758" s="11">
        <v>0</v>
      </c>
    </row>
    <row r="759" spans="1:14" x14ac:dyDescent="0.3">
      <c r="A759" s="10">
        <v>46020</v>
      </c>
      <c r="B759" t="s">
        <v>19</v>
      </c>
      <c r="C759" t="str">
        <f t="shared" si="34"/>
        <v>342856178759</v>
      </c>
      <c r="D759" t="str">
        <f t="shared" si="35"/>
        <v>Client759</v>
      </c>
      <c r="E759" t="str">
        <f t="shared" si="33"/>
        <v>BOB759</v>
      </c>
      <c r="G759" s="11"/>
      <c r="H759" s="11">
        <v>0</v>
      </c>
      <c r="I759" s="11">
        <v>0</v>
      </c>
      <c r="J759" s="11">
        <v>0</v>
      </c>
      <c r="K759" s="11">
        <v>0</v>
      </c>
      <c r="L759" s="11">
        <v>63600</v>
      </c>
      <c r="M759" s="11">
        <v>159800</v>
      </c>
      <c r="N759" s="11">
        <v>0</v>
      </c>
    </row>
    <row r="760" spans="1:14" x14ac:dyDescent="0.3">
      <c r="A760" s="10">
        <v>46020</v>
      </c>
      <c r="B760" t="s">
        <v>19</v>
      </c>
      <c r="C760" t="str">
        <f t="shared" si="34"/>
        <v>342856178760</v>
      </c>
      <c r="D760" t="str">
        <f t="shared" si="35"/>
        <v>Client760</v>
      </c>
      <c r="E760" t="str">
        <f t="shared" si="33"/>
        <v>BOB760</v>
      </c>
      <c r="F760" t="s">
        <v>32</v>
      </c>
      <c r="G760" s="11" t="s">
        <v>22</v>
      </c>
      <c r="H760" s="11">
        <v>0</v>
      </c>
      <c r="I760" s="11">
        <v>0</v>
      </c>
      <c r="J760" s="11">
        <v>0</v>
      </c>
      <c r="K760" s="11">
        <v>0</v>
      </c>
      <c r="L760" s="11">
        <v>6945100</v>
      </c>
      <c r="M760" s="11">
        <v>7230000</v>
      </c>
      <c r="N760" s="11">
        <v>0</v>
      </c>
    </row>
    <row r="761" spans="1:14" x14ac:dyDescent="0.3">
      <c r="A761" s="10">
        <v>46020</v>
      </c>
      <c r="B761" t="s">
        <v>19</v>
      </c>
      <c r="C761" t="str">
        <f t="shared" si="34"/>
        <v>342856178761</v>
      </c>
      <c r="D761" t="str">
        <f t="shared" si="35"/>
        <v>Client761</v>
      </c>
      <c r="E761" t="str">
        <f t="shared" si="33"/>
        <v>BOB761</v>
      </c>
      <c r="F761" t="s">
        <v>32</v>
      </c>
      <c r="G761" s="11" t="s">
        <v>22</v>
      </c>
      <c r="H761" s="11">
        <v>0</v>
      </c>
      <c r="I761" s="11">
        <v>0</v>
      </c>
      <c r="J761" s="11">
        <v>0</v>
      </c>
      <c r="K761" s="11">
        <v>576000</v>
      </c>
      <c r="L761" s="11">
        <v>12085700</v>
      </c>
      <c r="M761" s="11">
        <v>12596000</v>
      </c>
      <c r="N761" s="11">
        <v>0</v>
      </c>
    </row>
    <row r="762" spans="1:14" x14ac:dyDescent="0.3">
      <c r="A762" s="10">
        <v>46020</v>
      </c>
      <c r="B762" t="s">
        <v>19</v>
      </c>
      <c r="C762" t="str">
        <f t="shared" si="34"/>
        <v>342856178762</v>
      </c>
      <c r="D762" t="str">
        <f t="shared" si="35"/>
        <v>Client762</v>
      </c>
      <c r="E762" t="str">
        <f t="shared" si="33"/>
        <v>BOB762</v>
      </c>
      <c r="F762" t="s">
        <v>26</v>
      </c>
      <c r="G762" s="11" t="s">
        <v>27</v>
      </c>
      <c r="H762" s="11">
        <v>0</v>
      </c>
      <c r="I762" s="11">
        <v>0</v>
      </c>
      <c r="J762" s="11">
        <v>3987600</v>
      </c>
      <c r="K762" s="11">
        <v>0</v>
      </c>
      <c r="L762" s="11">
        <v>5578100</v>
      </c>
      <c r="M762" s="11">
        <v>1491300</v>
      </c>
      <c r="N762" s="11">
        <v>0</v>
      </c>
    </row>
    <row r="763" spans="1:14" x14ac:dyDescent="0.3">
      <c r="A763" s="10">
        <v>46020</v>
      </c>
      <c r="B763" t="s">
        <v>19</v>
      </c>
      <c r="C763" t="str">
        <f t="shared" si="34"/>
        <v>342856178763</v>
      </c>
      <c r="D763" t="str">
        <f t="shared" si="35"/>
        <v>Client763</v>
      </c>
      <c r="E763" t="str">
        <f t="shared" si="33"/>
        <v>BOB763</v>
      </c>
      <c r="F763" t="s">
        <v>21</v>
      </c>
      <c r="G763" s="11" t="s">
        <v>22</v>
      </c>
      <c r="H763" s="11">
        <v>0</v>
      </c>
      <c r="I763" s="11">
        <v>0</v>
      </c>
      <c r="J763" s="11">
        <v>0</v>
      </c>
      <c r="K763" s="11">
        <v>3000000</v>
      </c>
      <c r="L763" s="11">
        <v>22336500</v>
      </c>
      <c r="M763" s="11">
        <v>25500800</v>
      </c>
      <c r="N763" s="11">
        <v>0</v>
      </c>
    </row>
    <row r="764" spans="1:14" x14ac:dyDescent="0.3">
      <c r="A764" s="10">
        <v>46020</v>
      </c>
      <c r="B764" t="s">
        <v>19</v>
      </c>
      <c r="C764" t="str">
        <f t="shared" si="34"/>
        <v>342856178764</v>
      </c>
      <c r="D764" t="str">
        <f t="shared" si="35"/>
        <v>Client764</v>
      </c>
      <c r="E764" t="str">
        <f t="shared" si="33"/>
        <v>BOB764</v>
      </c>
      <c r="F764" t="s">
        <v>32</v>
      </c>
      <c r="G764" s="11" t="s">
        <v>22</v>
      </c>
      <c r="H764" s="11">
        <v>0</v>
      </c>
      <c r="I764" s="11">
        <v>1101500</v>
      </c>
      <c r="J764" s="11">
        <v>0</v>
      </c>
      <c r="K764" s="11">
        <v>0</v>
      </c>
      <c r="L764" s="11">
        <v>1604400</v>
      </c>
      <c r="M764" s="11">
        <v>2820900</v>
      </c>
      <c r="N764" s="11">
        <v>0</v>
      </c>
    </row>
    <row r="765" spans="1:14" x14ac:dyDescent="0.3">
      <c r="A765" s="10">
        <v>46020</v>
      </c>
      <c r="B765" t="s">
        <v>19</v>
      </c>
      <c r="C765" t="str">
        <f t="shared" si="34"/>
        <v>342856178765</v>
      </c>
      <c r="D765" t="str">
        <f t="shared" si="35"/>
        <v>Client765</v>
      </c>
      <c r="E765" t="str">
        <f t="shared" si="33"/>
        <v>BOB765</v>
      </c>
      <c r="F765" t="s">
        <v>21</v>
      </c>
      <c r="G765" s="11" t="s">
        <v>22</v>
      </c>
      <c r="H765" s="11">
        <v>0</v>
      </c>
      <c r="I765" s="11">
        <v>0</v>
      </c>
      <c r="J765" s="11">
        <v>0</v>
      </c>
      <c r="K765" s="11">
        <v>0</v>
      </c>
      <c r="L765" s="11">
        <v>0</v>
      </c>
      <c r="M765" s="11">
        <v>0</v>
      </c>
      <c r="N765" s="11">
        <v>0</v>
      </c>
    </row>
    <row r="766" spans="1:14" x14ac:dyDescent="0.3">
      <c r="A766" s="10">
        <v>46020</v>
      </c>
      <c r="B766" t="s">
        <v>19</v>
      </c>
      <c r="C766" t="str">
        <f t="shared" si="34"/>
        <v>342856178766</v>
      </c>
      <c r="D766" t="str">
        <f t="shared" si="35"/>
        <v>Client766</v>
      </c>
      <c r="E766" t="str">
        <f t="shared" si="33"/>
        <v>BOB766</v>
      </c>
      <c r="F766" t="s">
        <v>68</v>
      </c>
      <c r="G766" s="11" t="s">
        <v>22</v>
      </c>
      <c r="H766" s="11">
        <v>0</v>
      </c>
      <c r="I766" s="11">
        <v>0</v>
      </c>
      <c r="J766" s="11">
        <v>0</v>
      </c>
      <c r="K766" s="11">
        <v>0</v>
      </c>
      <c r="L766" s="11">
        <v>3104500</v>
      </c>
      <c r="M766" s="11">
        <v>2597700</v>
      </c>
      <c r="N766" s="11">
        <v>0</v>
      </c>
    </row>
    <row r="767" spans="1:14" x14ac:dyDescent="0.3">
      <c r="A767" s="10">
        <v>46020</v>
      </c>
      <c r="B767" t="s">
        <v>19</v>
      </c>
      <c r="C767" t="str">
        <f t="shared" si="34"/>
        <v>342856178767</v>
      </c>
      <c r="D767" t="str">
        <f t="shared" si="35"/>
        <v>Client767</v>
      </c>
      <c r="E767" t="str">
        <f t="shared" si="33"/>
        <v>BOB767</v>
      </c>
      <c r="G767" s="11"/>
      <c r="H767" s="11">
        <v>0</v>
      </c>
      <c r="I767" s="11">
        <v>0</v>
      </c>
      <c r="J767" s="11">
        <v>500000</v>
      </c>
      <c r="K767" s="11">
        <v>0</v>
      </c>
      <c r="L767" s="11">
        <v>3175100</v>
      </c>
      <c r="M767" s="11">
        <v>3147400</v>
      </c>
      <c r="N767" s="11">
        <v>0</v>
      </c>
    </row>
    <row r="768" spans="1:14" x14ac:dyDescent="0.3">
      <c r="A768" s="10">
        <v>46020</v>
      </c>
      <c r="B768" t="s">
        <v>19</v>
      </c>
      <c r="C768" t="str">
        <f t="shared" si="34"/>
        <v>342856178768</v>
      </c>
      <c r="D768" t="str">
        <f t="shared" si="35"/>
        <v>Client768</v>
      </c>
      <c r="E768" t="str">
        <f t="shared" si="33"/>
        <v>BOB768</v>
      </c>
      <c r="F768" t="s">
        <v>21</v>
      </c>
      <c r="G768" s="11" t="s">
        <v>22</v>
      </c>
      <c r="H768" s="11">
        <v>0</v>
      </c>
      <c r="I768" s="11">
        <v>0</v>
      </c>
      <c r="J768" s="11">
        <v>0</v>
      </c>
      <c r="K768" s="11">
        <v>0</v>
      </c>
      <c r="L768" s="11">
        <v>870200</v>
      </c>
      <c r="M768" s="11">
        <v>742800</v>
      </c>
      <c r="N768" s="11">
        <v>0</v>
      </c>
    </row>
    <row r="769" spans="1:14" x14ac:dyDescent="0.3">
      <c r="A769" s="10">
        <v>46020</v>
      </c>
      <c r="B769" t="s">
        <v>19</v>
      </c>
      <c r="C769" t="str">
        <f t="shared" si="34"/>
        <v>342856178769</v>
      </c>
      <c r="D769" t="str">
        <f t="shared" si="35"/>
        <v>Client769</v>
      </c>
      <c r="E769" t="str">
        <f t="shared" si="33"/>
        <v>BOB769</v>
      </c>
      <c r="F769" t="s">
        <v>32</v>
      </c>
      <c r="G769" s="11" t="s">
        <v>22</v>
      </c>
      <c r="H769" s="11">
        <v>0</v>
      </c>
      <c r="I769" s="11">
        <v>0</v>
      </c>
      <c r="J769" s="11">
        <v>0</v>
      </c>
      <c r="K769" s="11">
        <v>3400000</v>
      </c>
      <c r="L769" s="11">
        <v>7929100</v>
      </c>
      <c r="M769" s="11">
        <v>10422000</v>
      </c>
      <c r="N769" s="11">
        <v>0</v>
      </c>
    </row>
    <row r="770" spans="1:14" x14ac:dyDescent="0.3">
      <c r="A770" s="10">
        <v>46020</v>
      </c>
      <c r="B770" t="s">
        <v>19</v>
      </c>
      <c r="C770" t="str">
        <f t="shared" si="34"/>
        <v>342856178770</v>
      </c>
      <c r="D770" t="str">
        <f t="shared" si="35"/>
        <v>Client770</v>
      </c>
      <c r="E770" t="str">
        <f t="shared" si="33"/>
        <v>BOB770</v>
      </c>
      <c r="F770" t="s">
        <v>21</v>
      </c>
      <c r="G770" s="11" t="s">
        <v>22</v>
      </c>
      <c r="H770" s="11">
        <v>0</v>
      </c>
      <c r="I770" s="11">
        <v>0</v>
      </c>
      <c r="J770" s="11">
        <v>0</v>
      </c>
      <c r="K770" s="11">
        <v>2350000</v>
      </c>
      <c r="L770" s="11">
        <v>2380100</v>
      </c>
      <c r="M770" s="11">
        <v>5650000</v>
      </c>
      <c r="N770" s="11">
        <v>0</v>
      </c>
    </row>
    <row r="771" spans="1:14" x14ac:dyDescent="0.3">
      <c r="A771" s="10">
        <v>46020</v>
      </c>
      <c r="B771" t="s">
        <v>19</v>
      </c>
      <c r="C771" t="str">
        <f t="shared" si="34"/>
        <v>342856178771</v>
      </c>
      <c r="D771" t="str">
        <f t="shared" si="35"/>
        <v>Client771</v>
      </c>
      <c r="E771" t="str">
        <f t="shared" ref="E771:E804" si="36">"BOB"&amp;ROW()</f>
        <v>BOB771</v>
      </c>
      <c r="G771" s="11"/>
      <c r="H771" s="11">
        <v>0</v>
      </c>
      <c r="I771" s="11">
        <v>0</v>
      </c>
      <c r="J771" s="11">
        <v>0</v>
      </c>
      <c r="K771" s="11">
        <v>0</v>
      </c>
      <c r="L771" s="11">
        <v>796200</v>
      </c>
      <c r="M771" s="11">
        <v>1704200</v>
      </c>
      <c r="N771" s="11">
        <v>0</v>
      </c>
    </row>
    <row r="772" spans="1:14" x14ac:dyDescent="0.3">
      <c r="A772" s="10">
        <v>46020</v>
      </c>
      <c r="B772" t="s">
        <v>19</v>
      </c>
      <c r="C772" t="str">
        <f t="shared" ref="C772:C804" si="37" xml:space="preserve"> "342856178" &amp; ROW()</f>
        <v>342856178772</v>
      </c>
      <c r="D772" t="str">
        <f t="shared" ref="D772:D804" si="38">"Client"  &amp; ROW()</f>
        <v>Client772</v>
      </c>
      <c r="E772" t="str">
        <f t="shared" si="36"/>
        <v>BOB772</v>
      </c>
      <c r="F772" t="s">
        <v>21</v>
      </c>
      <c r="G772" s="11" t="s">
        <v>22</v>
      </c>
      <c r="H772" s="11">
        <v>0</v>
      </c>
      <c r="I772" s="11">
        <v>2504500</v>
      </c>
      <c r="J772" s="11">
        <v>0</v>
      </c>
      <c r="K772" s="11">
        <v>0</v>
      </c>
      <c r="L772" s="11">
        <v>4367000</v>
      </c>
      <c r="M772" s="11">
        <v>7078800</v>
      </c>
      <c r="N772" s="11">
        <v>0</v>
      </c>
    </row>
    <row r="773" spans="1:14" x14ac:dyDescent="0.3">
      <c r="A773" s="10">
        <v>46020</v>
      </c>
      <c r="B773" t="s">
        <v>19</v>
      </c>
      <c r="C773" t="str">
        <f t="shared" si="37"/>
        <v>342856178773</v>
      </c>
      <c r="D773" t="str">
        <f t="shared" si="38"/>
        <v>Client773</v>
      </c>
      <c r="E773" t="str">
        <f t="shared" si="36"/>
        <v>BOB773</v>
      </c>
      <c r="F773" t="s">
        <v>30</v>
      </c>
      <c r="G773" s="11" t="s">
        <v>70</v>
      </c>
      <c r="H773" s="11">
        <v>0</v>
      </c>
      <c r="I773" s="11">
        <v>0</v>
      </c>
      <c r="J773" s="11">
        <v>0</v>
      </c>
      <c r="K773" s="11">
        <v>0</v>
      </c>
      <c r="L773" s="11">
        <v>0</v>
      </c>
      <c r="M773" s="11">
        <v>0</v>
      </c>
      <c r="N773" s="11">
        <v>0</v>
      </c>
    </row>
    <row r="774" spans="1:14" x14ac:dyDescent="0.3">
      <c r="A774" s="10">
        <v>46020</v>
      </c>
      <c r="B774" t="s">
        <v>19</v>
      </c>
      <c r="C774" t="str">
        <f t="shared" si="37"/>
        <v>342856178774</v>
      </c>
      <c r="D774" t="str">
        <f t="shared" si="38"/>
        <v>Client774</v>
      </c>
      <c r="E774" t="str">
        <f t="shared" si="36"/>
        <v>BOB774</v>
      </c>
      <c r="G774" s="11"/>
      <c r="H774" s="11">
        <v>0</v>
      </c>
      <c r="I774" s="11">
        <v>0</v>
      </c>
      <c r="J774" s="11">
        <v>0</v>
      </c>
      <c r="K774" s="11">
        <v>1403000</v>
      </c>
      <c r="L774" s="11">
        <v>2820500</v>
      </c>
      <c r="M774" s="11">
        <v>4192000</v>
      </c>
      <c r="N774" s="11">
        <v>0</v>
      </c>
    </row>
    <row r="775" spans="1:14" x14ac:dyDescent="0.3">
      <c r="A775" s="10">
        <v>46020</v>
      </c>
      <c r="B775" t="s">
        <v>19</v>
      </c>
      <c r="C775" t="str">
        <f t="shared" si="37"/>
        <v>342856178775</v>
      </c>
      <c r="D775" t="str">
        <f t="shared" si="38"/>
        <v>Client775</v>
      </c>
      <c r="E775" t="str">
        <f t="shared" si="36"/>
        <v>BOB775</v>
      </c>
      <c r="F775" t="s">
        <v>24</v>
      </c>
      <c r="G775" s="11" t="s">
        <v>22</v>
      </c>
      <c r="H775" s="11">
        <v>0</v>
      </c>
      <c r="I775" s="11">
        <v>1503000</v>
      </c>
      <c r="J775" s="11">
        <v>0</v>
      </c>
      <c r="K775" s="11">
        <v>0</v>
      </c>
      <c r="L775" s="11">
        <v>2934100</v>
      </c>
      <c r="M775" s="11">
        <v>4004500</v>
      </c>
      <c r="N775" s="11">
        <v>0</v>
      </c>
    </row>
    <row r="776" spans="1:14" x14ac:dyDescent="0.3">
      <c r="A776" s="10">
        <v>46020</v>
      </c>
      <c r="B776" t="s">
        <v>19</v>
      </c>
      <c r="C776" t="str">
        <f t="shared" si="37"/>
        <v>342856178776</v>
      </c>
      <c r="D776" t="str">
        <f t="shared" si="38"/>
        <v>Client776</v>
      </c>
      <c r="E776" t="str">
        <f t="shared" si="36"/>
        <v>BOB776</v>
      </c>
      <c r="F776" t="s">
        <v>32</v>
      </c>
      <c r="G776" s="11" t="s">
        <v>22</v>
      </c>
      <c r="H776" s="11">
        <v>0</v>
      </c>
      <c r="I776" s="11">
        <v>0</v>
      </c>
      <c r="J776" s="11">
        <v>0</v>
      </c>
      <c r="K776" s="11">
        <v>0</v>
      </c>
      <c r="L776" s="11">
        <v>14314100</v>
      </c>
      <c r="M776" s="11">
        <v>13534600</v>
      </c>
      <c r="N776" s="11">
        <v>0</v>
      </c>
    </row>
    <row r="777" spans="1:14" x14ac:dyDescent="0.3">
      <c r="A777" s="10">
        <v>46020</v>
      </c>
      <c r="B777" t="s">
        <v>19</v>
      </c>
      <c r="C777" t="str">
        <f t="shared" si="37"/>
        <v>342856178777</v>
      </c>
      <c r="D777" t="str">
        <f t="shared" si="38"/>
        <v>Client777</v>
      </c>
      <c r="E777" t="str">
        <f t="shared" si="36"/>
        <v>BOB777</v>
      </c>
      <c r="F777" t="s">
        <v>32</v>
      </c>
      <c r="G777" s="11" t="s">
        <v>22</v>
      </c>
      <c r="H777" s="11">
        <v>0</v>
      </c>
      <c r="I777" s="11">
        <v>0</v>
      </c>
      <c r="J777" s="11">
        <v>19000000</v>
      </c>
      <c r="K777" s="11">
        <v>0</v>
      </c>
      <c r="L777" s="11">
        <v>36340900</v>
      </c>
      <c r="M777" s="11">
        <v>17603700</v>
      </c>
      <c r="N777" s="11">
        <v>0</v>
      </c>
    </row>
    <row r="778" spans="1:14" x14ac:dyDescent="0.3">
      <c r="A778" s="10">
        <v>46020</v>
      </c>
      <c r="B778" t="s">
        <v>19</v>
      </c>
      <c r="C778" t="str">
        <f t="shared" si="37"/>
        <v>342856178778</v>
      </c>
      <c r="D778" t="str">
        <f t="shared" si="38"/>
        <v>Client778</v>
      </c>
      <c r="E778" t="str">
        <f t="shared" si="36"/>
        <v>BOB778</v>
      </c>
      <c r="F778" t="s">
        <v>73</v>
      </c>
      <c r="G778" s="11" t="s">
        <v>104</v>
      </c>
      <c r="H778" s="11">
        <v>0</v>
      </c>
      <c r="I778" s="11">
        <v>0</v>
      </c>
      <c r="J778" s="11">
        <v>0</v>
      </c>
      <c r="K778" s="11">
        <v>0</v>
      </c>
      <c r="L778" s="11">
        <v>23461700</v>
      </c>
      <c r="M778" s="11">
        <v>18493200</v>
      </c>
      <c r="N778" s="11">
        <v>0</v>
      </c>
    </row>
    <row r="779" spans="1:14" x14ac:dyDescent="0.3">
      <c r="A779" s="10">
        <v>46020</v>
      </c>
      <c r="B779" t="s">
        <v>19</v>
      </c>
      <c r="C779" t="str">
        <f t="shared" si="37"/>
        <v>342856178779</v>
      </c>
      <c r="D779" t="str">
        <f t="shared" si="38"/>
        <v>Client779</v>
      </c>
      <c r="E779" t="str">
        <f t="shared" si="36"/>
        <v>BOB779</v>
      </c>
      <c r="F779" t="s">
        <v>24</v>
      </c>
      <c r="G779" s="11" t="s">
        <v>22</v>
      </c>
      <c r="H779" s="11">
        <v>0</v>
      </c>
      <c r="I779" s="11">
        <v>0</v>
      </c>
      <c r="J779" s="11">
        <v>600000</v>
      </c>
      <c r="K779" s="11">
        <v>0</v>
      </c>
      <c r="L779" s="11">
        <v>6132200</v>
      </c>
      <c r="M779" s="11">
        <v>5661400</v>
      </c>
      <c r="N779" s="11">
        <v>0</v>
      </c>
    </row>
    <row r="780" spans="1:14" x14ac:dyDescent="0.3">
      <c r="A780" s="10">
        <v>46020</v>
      </c>
      <c r="B780" t="s">
        <v>19</v>
      </c>
      <c r="C780" t="str">
        <f t="shared" si="37"/>
        <v>342856178780</v>
      </c>
      <c r="D780" t="str">
        <f t="shared" si="38"/>
        <v>Client780</v>
      </c>
      <c r="E780" t="str">
        <f t="shared" si="36"/>
        <v>BOB780</v>
      </c>
      <c r="F780" t="s">
        <v>21</v>
      </c>
      <c r="G780" s="11" t="s">
        <v>22</v>
      </c>
      <c r="H780" s="11">
        <v>0</v>
      </c>
      <c r="I780" s="11">
        <v>0</v>
      </c>
      <c r="J780" s="11">
        <v>0</v>
      </c>
      <c r="K780" s="11">
        <v>0</v>
      </c>
      <c r="L780" s="11">
        <v>0</v>
      </c>
      <c r="M780" s="11">
        <v>0</v>
      </c>
      <c r="N780" s="11">
        <v>0</v>
      </c>
    </row>
    <row r="781" spans="1:14" x14ac:dyDescent="0.3">
      <c r="A781" s="10">
        <v>46020</v>
      </c>
      <c r="B781" t="s">
        <v>19</v>
      </c>
      <c r="C781" t="str">
        <f t="shared" si="37"/>
        <v>342856178781</v>
      </c>
      <c r="D781" t="str">
        <f t="shared" si="38"/>
        <v>Client781</v>
      </c>
      <c r="E781" t="str">
        <f t="shared" si="36"/>
        <v>BOB781</v>
      </c>
      <c r="F781" t="s">
        <v>30</v>
      </c>
      <c r="G781" s="11" t="s">
        <v>22</v>
      </c>
      <c r="H781" s="11">
        <v>0</v>
      </c>
      <c r="I781" s="11">
        <v>0</v>
      </c>
      <c r="J781" s="11">
        <v>0</v>
      </c>
      <c r="K781" s="11">
        <v>6000000</v>
      </c>
      <c r="L781" s="11">
        <v>5755100</v>
      </c>
      <c r="M781" s="11">
        <v>9009300</v>
      </c>
      <c r="N781" s="11">
        <v>0</v>
      </c>
    </row>
    <row r="782" spans="1:14" x14ac:dyDescent="0.3">
      <c r="A782" s="10">
        <v>46020</v>
      </c>
      <c r="B782" t="s">
        <v>19</v>
      </c>
      <c r="C782" t="str">
        <f t="shared" si="37"/>
        <v>342856178782</v>
      </c>
      <c r="D782" t="str">
        <f t="shared" si="38"/>
        <v>Client782</v>
      </c>
      <c r="E782" t="str">
        <f t="shared" si="36"/>
        <v>BOB782</v>
      </c>
      <c r="G782" s="11"/>
      <c r="H782" s="11">
        <v>0</v>
      </c>
      <c r="I782" s="11">
        <v>0</v>
      </c>
      <c r="J782" s="11">
        <v>0</v>
      </c>
      <c r="K782" s="11">
        <v>0</v>
      </c>
      <c r="L782" s="11">
        <v>394200</v>
      </c>
      <c r="M782" s="11">
        <v>0</v>
      </c>
      <c r="N782" s="11">
        <v>0</v>
      </c>
    </row>
    <row r="783" spans="1:14" x14ac:dyDescent="0.3">
      <c r="A783" s="10">
        <v>46020</v>
      </c>
      <c r="B783" t="s">
        <v>19</v>
      </c>
      <c r="C783" t="str">
        <f t="shared" si="37"/>
        <v>342856178783</v>
      </c>
      <c r="D783" t="str">
        <f t="shared" si="38"/>
        <v>Client783</v>
      </c>
      <c r="E783" t="str">
        <f t="shared" si="36"/>
        <v>BOB783</v>
      </c>
      <c r="F783" t="s">
        <v>21</v>
      </c>
      <c r="G783" s="11" t="s">
        <v>22</v>
      </c>
      <c r="H783" s="11">
        <v>0</v>
      </c>
      <c r="I783" s="11">
        <v>0</v>
      </c>
      <c r="J783" s="11">
        <v>0</v>
      </c>
      <c r="K783" s="11">
        <v>7000000</v>
      </c>
      <c r="L783" s="11">
        <v>12780400</v>
      </c>
      <c r="M783" s="11">
        <v>19337500</v>
      </c>
      <c r="N783" s="11">
        <v>0</v>
      </c>
    </row>
    <row r="784" spans="1:14" x14ac:dyDescent="0.3">
      <c r="A784" s="10">
        <v>46020</v>
      </c>
      <c r="B784" t="s">
        <v>19</v>
      </c>
      <c r="C784" t="str">
        <f t="shared" si="37"/>
        <v>342856178784</v>
      </c>
      <c r="D784" t="str">
        <f t="shared" si="38"/>
        <v>Client784</v>
      </c>
      <c r="E784" t="str">
        <f t="shared" si="36"/>
        <v>BOB784</v>
      </c>
      <c r="F784" t="s">
        <v>26</v>
      </c>
      <c r="G784" s="11" t="s">
        <v>27</v>
      </c>
      <c r="H784" s="11">
        <v>0</v>
      </c>
      <c r="I784" s="11">
        <v>0</v>
      </c>
      <c r="J784" s="11">
        <v>0</v>
      </c>
      <c r="K784" s="11">
        <v>0</v>
      </c>
      <c r="L784" s="11">
        <v>10006400</v>
      </c>
      <c r="M784" s="11">
        <v>7160700</v>
      </c>
      <c r="N784" s="11">
        <v>0</v>
      </c>
    </row>
    <row r="785" spans="1:14" x14ac:dyDescent="0.3">
      <c r="A785" s="10">
        <v>46020</v>
      </c>
      <c r="B785" t="s">
        <v>19</v>
      </c>
      <c r="C785" t="str">
        <f t="shared" si="37"/>
        <v>342856178785</v>
      </c>
      <c r="D785" t="str">
        <f t="shared" si="38"/>
        <v>Client785</v>
      </c>
      <c r="E785" t="str">
        <f t="shared" si="36"/>
        <v>BOB785</v>
      </c>
      <c r="G785" s="11"/>
      <c r="H785" s="11">
        <v>0</v>
      </c>
      <c r="I785" s="11">
        <v>0</v>
      </c>
      <c r="J785" s="11">
        <v>0</v>
      </c>
      <c r="K785" s="11">
        <v>0</v>
      </c>
      <c r="L785" s="11">
        <v>0</v>
      </c>
      <c r="M785" s="11">
        <v>0</v>
      </c>
      <c r="N785" s="11">
        <v>0</v>
      </c>
    </row>
    <row r="786" spans="1:14" x14ac:dyDescent="0.3">
      <c r="A786" s="10">
        <v>46020</v>
      </c>
      <c r="B786" t="s">
        <v>19</v>
      </c>
      <c r="C786" t="str">
        <f t="shared" si="37"/>
        <v>342856178786</v>
      </c>
      <c r="D786" t="str">
        <f t="shared" si="38"/>
        <v>Client786</v>
      </c>
      <c r="E786" t="str">
        <f t="shared" si="36"/>
        <v>BOB786</v>
      </c>
      <c r="F786" t="s">
        <v>21</v>
      </c>
      <c r="G786" s="11" t="s">
        <v>22</v>
      </c>
      <c r="H786" s="11">
        <v>0</v>
      </c>
      <c r="I786" s="11">
        <v>0</v>
      </c>
      <c r="J786" s="11">
        <v>0</v>
      </c>
      <c r="K786" s="11">
        <v>0</v>
      </c>
      <c r="L786" s="11">
        <v>2128000</v>
      </c>
      <c r="M786" s="11">
        <v>2249000</v>
      </c>
      <c r="N786" s="11">
        <v>0</v>
      </c>
    </row>
    <row r="787" spans="1:14" x14ac:dyDescent="0.3">
      <c r="A787" s="10">
        <v>46020</v>
      </c>
      <c r="B787" t="s">
        <v>19</v>
      </c>
      <c r="C787" t="str">
        <f t="shared" si="37"/>
        <v>342856178787</v>
      </c>
      <c r="D787" t="str">
        <f t="shared" si="38"/>
        <v>Client787</v>
      </c>
      <c r="E787" t="str">
        <f t="shared" si="36"/>
        <v>BOB787</v>
      </c>
      <c r="F787" t="s">
        <v>32</v>
      </c>
      <c r="G787" s="11" t="s">
        <v>22</v>
      </c>
      <c r="H787" s="11">
        <v>0</v>
      </c>
      <c r="I787" s="11">
        <v>0</v>
      </c>
      <c r="J787" s="11">
        <v>0</v>
      </c>
      <c r="K787" s="11">
        <v>0</v>
      </c>
      <c r="L787" s="11">
        <v>74300</v>
      </c>
      <c r="M787" s="11">
        <v>35300</v>
      </c>
      <c r="N787" s="11">
        <v>0</v>
      </c>
    </row>
    <row r="788" spans="1:14" x14ac:dyDescent="0.3">
      <c r="A788" s="10">
        <v>46020</v>
      </c>
      <c r="B788" t="s">
        <v>19</v>
      </c>
      <c r="C788" t="str">
        <f t="shared" si="37"/>
        <v>342856178788</v>
      </c>
      <c r="D788" t="str">
        <f t="shared" si="38"/>
        <v>Client788</v>
      </c>
      <c r="E788" t="str">
        <f t="shared" si="36"/>
        <v>BOB788</v>
      </c>
      <c r="F788" t="s">
        <v>24</v>
      </c>
      <c r="G788" s="11" t="s">
        <v>88</v>
      </c>
      <c r="H788" s="11">
        <v>0</v>
      </c>
      <c r="I788" s="11">
        <v>0</v>
      </c>
      <c r="J788" s="11">
        <v>0</v>
      </c>
      <c r="K788" s="11">
        <v>3500000</v>
      </c>
      <c r="L788" s="11">
        <v>10199600</v>
      </c>
      <c r="M788" s="11">
        <v>13037500</v>
      </c>
      <c r="N788" s="11">
        <v>0</v>
      </c>
    </row>
    <row r="789" spans="1:14" x14ac:dyDescent="0.3">
      <c r="A789" s="10">
        <v>46020</v>
      </c>
      <c r="B789" t="s">
        <v>19</v>
      </c>
      <c r="C789" t="str">
        <f t="shared" si="37"/>
        <v>342856178789</v>
      </c>
      <c r="D789" t="str">
        <f t="shared" si="38"/>
        <v>Client789</v>
      </c>
      <c r="E789" t="str">
        <f t="shared" si="36"/>
        <v>BOB789</v>
      </c>
      <c r="F789" t="s">
        <v>30</v>
      </c>
      <c r="G789" s="11" t="s">
        <v>76</v>
      </c>
      <c r="H789" s="11">
        <v>0</v>
      </c>
      <c r="I789" s="11">
        <v>0</v>
      </c>
      <c r="J789" s="11">
        <v>0</v>
      </c>
      <c r="K789" s="11">
        <v>0</v>
      </c>
      <c r="L789" s="11">
        <v>10597600</v>
      </c>
      <c r="M789" s="11">
        <v>8706300</v>
      </c>
      <c r="N789" s="11">
        <v>0</v>
      </c>
    </row>
    <row r="790" spans="1:14" x14ac:dyDescent="0.3">
      <c r="A790" s="10">
        <v>46020</v>
      </c>
      <c r="B790" t="s">
        <v>19</v>
      </c>
      <c r="C790" t="str">
        <f t="shared" si="37"/>
        <v>342856178790</v>
      </c>
      <c r="D790" t="str">
        <f t="shared" si="38"/>
        <v>Client790</v>
      </c>
      <c r="E790" t="str">
        <f t="shared" si="36"/>
        <v>BOB790</v>
      </c>
      <c r="F790" t="s">
        <v>32</v>
      </c>
      <c r="G790" s="11" t="s">
        <v>22</v>
      </c>
      <c r="H790" s="11">
        <v>0</v>
      </c>
      <c r="I790" s="11">
        <v>0</v>
      </c>
      <c r="J790" s="11">
        <v>0</v>
      </c>
      <c r="K790" s="11">
        <v>1000000</v>
      </c>
      <c r="L790" s="11">
        <v>9352300</v>
      </c>
      <c r="M790" s="11">
        <v>9743600</v>
      </c>
      <c r="N790" s="11">
        <v>0</v>
      </c>
    </row>
    <row r="791" spans="1:14" x14ac:dyDescent="0.3">
      <c r="A791" s="10">
        <v>46020</v>
      </c>
      <c r="B791" t="s">
        <v>19</v>
      </c>
      <c r="C791" t="str">
        <f t="shared" si="37"/>
        <v>342856178791</v>
      </c>
      <c r="D791" t="str">
        <f t="shared" si="38"/>
        <v>Client791</v>
      </c>
      <c r="E791" t="str">
        <f t="shared" si="36"/>
        <v>BOB791</v>
      </c>
      <c r="F791" t="s">
        <v>21</v>
      </c>
      <c r="G791" s="11" t="s">
        <v>22</v>
      </c>
      <c r="H791" s="11">
        <v>0</v>
      </c>
      <c r="I791" s="11">
        <v>0</v>
      </c>
      <c r="J791" s="11">
        <v>0</v>
      </c>
      <c r="K791" s="11">
        <v>0</v>
      </c>
      <c r="L791" s="11">
        <v>0</v>
      </c>
      <c r="M791" s="11">
        <v>0</v>
      </c>
      <c r="N791" s="11">
        <v>0</v>
      </c>
    </row>
    <row r="792" spans="1:14" x14ac:dyDescent="0.3">
      <c r="A792" s="10">
        <v>46020</v>
      </c>
      <c r="B792" t="s">
        <v>19</v>
      </c>
      <c r="C792" t="str">
        <f t="shared" si="37"/>
        <v>342856178792</v>
      </c>
      <c r="D792" t="str">
        <f t="shared" si="38"/>
        <v>Client792</v>
      </c>
      <c r="E792" t="str">
        <f t="shared" si="36"/>
        <v>BOB792</v>
      </c>
      <c r="F792" t="s">
        <v>32</v>
      </c>
      <c r="G792" s="11" t="s">
        <v>22</v>
      </c>
      <c r="H792" s="11">
        <v>0</v>
      </c>
      <c r="I792" s="11">
        <v>0</v>
      </c>
      <c r="J792" s="11">
        <v>0</v>
      </c>
      <c r="K792" s="11">
        <v>0</v>
      </c>
      <c r="L792" s="11">
        <v>3065600</v>
      </c>
      <c r="M792" s="11">
        <v>2952700</v>
      </c>
      <c r="N792" s="11">
        <v>0</v>
      </c>
    </row>
    <row r="793" spans="1:14" x14ac:dyDescent="0.3">
      <c r="A793" s="10">
        <v>46020</v>
      </c>
      <c r="B793" t="s">
        <v>19</v>
      </c>
      <c r="C793" t="str">
        <f t="shared" si="37"/>
        <v>342856178793</v>
      </c>
      <c r="D793" t="str">
        <f t="shared" si="38"/>
        <v>Client793</v>
      </c>
      <c r="E793" t="str">
        <f t="shared" si="36"/>
        <v>BOB793</v>
      </c>
      <c r="F793" t="s">
        <v>68</v>
      </c>
      <c r="G793" s="11" t="s">
        <v>22</v>
      </c>
      <c r="H793" s="11">
        <v>0</v>
      </c>
      <c r="I793" s="11">
        <v>0</v>
      </c>
      <c r="J793" s="11">
        <v>0</v>
      </c>
      <c r="K793" s="11">
        <v>0</v>
      </c>
      <c r="L793" s="11">
        <v>13923600</v>
      </c>
      <c r="M793" s="11">
        <v>14784700</v>
      </c>
      <c r="N793" s="11">
        <v>0</v>
      </c>
    </row>
    <row r="794" spans="1:14" x14ac:dyDescent="0.3">
      <c r="A794" s="10">
        <v>46020</v>
      </c>
      <c r="B794" t="s">
        <v>19</v>
      </c>
      <c r="C794" t="str">
        <f t="shared" si="37"/>
        <v>342856178794</v>
      </c>
      <c r="D794" t="str">
        <f t="shared" si="38"/>
        <v>Client794</v>
      </c>
      <c r="E794" t="str">
        <f t="shared" si="36"/>
        <v>BOB794</v>
      </c>
      <c r="F794" t="s">
        <v>26</v>
      </c>
      <c r="G794" s="11" t="s">
        <v>27</v>
      </c>
      <c r="H794" s="11">
        <v>0</v>
      </c>
      <c r="I794" s="11">
        <v>0</v>
      </c>
      <c r="J794" s="11">
        <v>32500000</v>
      </c>
      <c r="K794" s="11">
        <v>59000000</v>
      </c>
      <c r="L794" s="11">
        <v>74400500</v>
      </c>
      <c r="M794" s="11">
        <v>99029900</v>
      </c>
      <c r="N794" s="11">
        <v>2000000</v>
      </c>
    </row>
    <row r="795" spans="1:14" x14ac:dyDescent="0.3">
      <c r="A795" s="10">
        <v>46020</v>
      </c>
      <c r="B795" t="s">
        <v>19</v>
      </c>
      <c r="C795" t="str">
        <f t="shared" si="37"/>
        <v>342856178795</v>
      </c>
      <c r="D795" t="str">
        <f t="shared" si="38"/>
        <v>Client795</v>
      </c>
      <c r="E795" t="str">
        <f t="shared" si="36"/>
        <v>BOB795</v>
      </c>
      <c r="F795" t="s">
        <v>21</v>
      </c>
      <c r="G795" s="11" t="s">
        <v>22</v>
      </c>
      <c r="H795" s="11">
        <v>0</v>
      </c>
      <c r="I795" s="11">
        <v>0</v>
      </c>
      <c r="J795" s="11">
        <v>0</v>
      </c>
      <c r="K795" s="11">
        <v>0</v>
      </c>
      <c r="L795" s="11">
        <v>13835300</v>
      </c>
      <c r="M795" s="11">
        <v>15410900</v>
      </c>
      <c r="N795" s="11">
        <v>0</v>
      </c>
    </row>
    <row r="796" spans="1:14" x14ac:dyDescent="0.3">
      <c r="A796" s="10">
        <v>46020</v>
      </c>
      <c r="B796" t="s">
        <v>19</v>
      </c>
      <c r="C796" t="str">
        <f t="shared" si="37"/>
        <v>342856178796</v>
      </c>
      <c r="D796" t="str">
        <f t="shared" si="38"/>
        <v>Client796</v>
      </c>
      <c r="E796" t="str">
        <f t="shared" si="36"/>
        <v>BOB796</v>
      </c>
      <c r="F796" t="s">
        <v>32</v>
      </c>
      <c r="G796" s="11" t="s">
        <v>22</v>
      </c>
      <c r="H796" s="11">
        <v>0</v>
      </c>
      <c r="I796" s="11">
        <v>0</v>
      </c>
      <c r="J796" s="11">
        <v>0</v>
      </c>
      <c r="K796" s="11">
        <v>0</v>
      </c>
      <c r="L796" s="11">
        <v>190500</v>
      </c>
      <c r="M796" s="11">
        <v>231000</v>
      </c>
      <c r="N796" s="11">
        <v>0</v>
      </c>
    </row>
    <row r="797" spans="1:14" x14ac:dyDescent="0.3">
      <c r="A797" s="10">
        <v>46020</v>
      </c>
      <c r="B797" t="s">
        <v>19</v>
      </c>
      <c r="C797" t="str">
        <f t="shared" si="37"/>
        <v>342856178797</v>
      </c>
      <c r="D797" t="str">
        <f t="shared" si="38"/>
        <v>Client797</v>
      </c>
      <c r="E797" t="str">
        <f t="shared" si="36"/>
        <v>BOB797</v>
      </c>
      <c r="F797" t="s">
        <v>32</v>
      </c>
      <c r="G797" s="11" t="s">
        <v>22</v>
      </c>
      <c r="H797" s="11">
        <v>0</v>
      </c>
      <c r="I797" s="11">
        <v>501500</v>
      </c>
      <c r="J797" s="11">
        <v>0</v>
      </c>
      <c r="K797" s="11">
        <v>0</v>
      </c>
      <c r="L797" s="11">
        <v>1703300</v>
      </c>
      <c r="M797" s="11">
        <v>2289800</v>
      </c>
      <c r="N797" s="11">
        <v>0</v>
      </c>
    </row>
    <row r="798" spans="1:14" x14ac:dyDescent="0.3">
      <c r="A798" s="10">
        <v>46020</v>
      </c>
      <c r="B798" t="s">
        <v>19</v>
      </c>
      <c r="C798" t="str">
        <f t="shared" si="37"/>
        <v>342856178798</v>
      </c>
      <c r="D798" t="str">
        <f t="shared" si="38"/>
        <v>Client798</v>
      </c>
      <c r="E798" t="str">
        <f t="shared" si="36"/>
        <v>BOB798</v>
      </c>
      <c r="F798" t="s">
        <v>21</v>
      </c>
      <c r="G798" s="11" t="s">
        <v>22</v>
      </c>
      <c r="H798" s="11">
        <v>0</v>
      </c>
      <c r="I798" s="11">
        <v>0</v>
      </c>
      <c r="J798" s="11">
        <v>0</v>
      </c>
      <c r="K798" s="11">
        <v>0</v>
      </c>
      <c r="L798" s="11">
        <v>6437900</v>
      </c>
      <c r="M798" s="11">
        <v>10247600</v>
      </c>
      <c r="N798" s="11">
        <v>0</v>
      </c>
    </row>
    <row r="799" spans="1:14" x14ac:dyDescent="0.3">
      <c r="A799" s="10">
        <v>46020</v>
      </c>
      <c r="B799" t="s">
        <v>19</v>
      </c>
      <c r="C799" t="str">
        <f t="shared" si="37"/>
        <v>342856178799</v>
      </c>
      <c r="D799" t="str">
        <f t="shared" si="38"/>
        <v>Client799</v>
      </c>
      <c r="E799" t="str">
        <f t="shared" si="36"/>
        <v>BOB799</v>
      </c>
      <c r="F799" t="s">
        <v>73</v>
      </c>
      <c r="G799" s="11" t="s">
        <v>105</v>
      </c>
      <c r="H799" s="11">
        <v>0</v>
      </c>
      <c r="I799" s="11">
        <v>0</v>
      </c>
      <c r="J799" s="11">
        <v>0</v>
      </c>
      <c r="K799" s="11">
        <v>0</v>
      </c>
      <c r="L799" s="11">
        <v>187500</v>
      </c>
      <c r="M799" s="11">
        <v>6903900</v>
      </c>
      <c r="N799" s="11">
        <v>0</v>
      </c>
    </row>
    <row r="800" spans="1:14" x14ac:dyDescent="0.3">
      <c r="A800" s="10">
        <v>46020</v>
      </c>
      <c r="B800" t="s">
        <v>19</v>
      </c>
      <c r="C800" t="str">
        <f t="shared" si="37"/>
        <v>342856178800</v>
      </c>
      <c r="D800" t="str">
        <f t="shared" si="38"/>
        <v>Client800</v>
      </c>
      <c r="E800" t="str">
        <f t="shared" si="36"/>
        <v>BOB800</v>
      </c>
      <c r="F800" t="s">
        <v>26</v>
      </c>
      <c r="G800" s="11" t="s">
        <v>27</v>
      </c>
      <c r="H800" s="11">
        <v>0</v>
      </c>
      <c r="I800" s="11">
        <v>0</v>
      </c>
      <c r="J800" s="11">
        <v>0</v>
      </c>
      <c r="K800" s="11">
        <v>0</v>
      </c>
      <c r="L800" s="11">
        <v>54600</v>
      </c>
      <c r="M800" s="11">
        <v>80400</v>
      </c>
      <c r="N800" s="11">
        <v>0</v>
      </c>
    </row>
    <row r="801" spans="1:14" x14ac:dyDescent="0.3">
      <c r="A801" s="10">
        <v>46020</v>
      </c>
      <c r="B801" t="s">
        <v>19</v>
      </c>
      <c r="C801" t="str">
        <f t="shared" si="37"/>
        <v>342856178801</v>
      </c>
      <c r="D801" t="str">
        <f t="shared" si="38"/>
        <v>Client801</v>
      </c>
      <c r="E801" t="str">
        <f t="shared" si="36"/>
        <v>BOB801</v>
      </c>
      <c r="F801" t="s">
        <v>26</v>
      </c>
      <c r="G801" s="11" t="s">
        <v>27</v>
      </c>
      <c r="H801" s="11">
        <v>0</v>
      </c>
      <c r="I801" s="11">
        <v>0</v>
      </c>
      <c r="J801" s="11">
        <v>0</v>
      </c>
      <c r="K801" s="11">
        <v>0</v>
      </c>
      <c r="L801" s="11">
        <v>0</v>
      </c>
      <c r="M801" s="11">
        <v>0</v>
      </c>
      <c r="N801" s="11">
        <v>0</v>
      </c>
    </row>
    <row r="802" spans="1:14" x14ac:dyDescent="0.3">
      <c r="A802" s="10">
        <v>46020</v>
      </c>
      <c r="B802" t="s">
        <v>19</v>
      </c>
      <c r="C802" t="str">
        <f t="shared" si="37"/>
        <v>342856178802</v>
      </c>
      <c r="D802" t="str">
        <f t="shared" si="38"/>
        <v>Client802</v>
      </c>
      <c r="E802" t="str">
        <f t="shared" si="36"/>
        <v>BOB802</v>
      </c>
      <c r="F802" t="s">
        <v>32</v>
      </c>
      <c r="G802" s="11" t="s">
        <v>22</v>
      </c>
      <c r="H802" s="11">
        <v>0</v>
      </c>
      <c r="I802" s="11">
        <v>0</v>
      </c>
      <c r="J802" s="11">
        <v>4690000</v>
      </c>
      <c r="K802" s="11">
        <v>2250000</v>
      </c>
      <c r="L802" s="11">
        <v>8915100</v>
      </c>
      <c r="M802" s="11">
        <v>6818400</v>
      </c>
      <c r="N802" s="11">
        <v>0</v>
      </c>
    </row>
    <row r="803" spans="1:14" x14ac:dyDescent="0.3">
      <c r="A803" s="10">
        <v>46020</v>
      </c>
      <c r="B803" t="s">
        <v>19</v>
      </c>
      <c r="C803" t="str">
        <f t="shared" si="37"/>
        <v>342856178803</v>
      </c>
      <c r="D803" t="str">
        <f t="shared" si="38"/>
        <v>Client803</v>
      </c>
      <c r="E803" t="str">
        <f t="shared" si="36"/>
        <v>BOB803</v>
      </c>
      <c r="F803" t="s">
        <v>30</v>
      </c>
      <c r="G803" s="11" t="s">
        <v>84</v>
      </c>
      <c r="H803" s="11">
        <v>0</v>
      </c>
      <c r="I803" s="11">
        <v>0</v>
      </c>
      <c r="J803" s="11">
        <v>0</v>
      </c>
      <c r="K803" s="11">
        <v>2006000</v>
      </c>
      <c r="L803" s="11">
        <v>1447400</v>
      </c>
      <c r="M803" s="11">
        <v>2467800</v>
      </c>
      <c r="N803" s="11">
        <v>0</v>
      </c>
    </row>
    <row r="804" spans="1:14" x14ac:dyDescent="0.3">
      <c r="A804" s="10">
        <v>46020</v>
      </c>
      <c r="B804" t="s">
        <v>19</v>
      </c>
      <c r="C804" t="str">
        <f t="shared" si="37"/>
        <v>342856178804</v>
      </c>
      <c r="D804" t="str">
        <f t="shared" si="38"/>
        <v>Client804</v>
      </c>
      <c r="E804" t="str">
        <f t="shared" si="36"/>
        <v>BOB804</v>
      </c>
      <c r="F804" t="s">
        <v>21</v>
      </c>
      <c r="G804" s="11" t="s">
        <v>22</v>
      </c>
      <c r="H804" s="11">
        <v>0</v>
      </c>
      <c r="I804" s="11">
        <v>0</v>
      </c>
      <c r="J804" s="11">
        <v>0</v>
      </c>
      <c r="K804" s="11">
        <v>0</v>
      </c>
      <c r="L804" s="11">
        <v>3958900</v>
      </c>
      <c r="M804" s="11">
        <v>3894900</v>
      </c>
      <c r="N804" s="11">
        <v>0</v>
      </c>
    </row>
    <row r="805" spans="1:14" x14ac:dyDescent="0.3">
      <c r="A805" s="20" t="s">
        <v>109</v>
      </c>
      <c r="B805" s="20">
        <f t="shared" ref="B805:N805" si="39">SUM(B3:B804)</f>
        <v>0</v>
      </c>
      <c r="C805" s="20">
        <f t="shared" si="39"/>
        <v>0</v>
      </c>
      <c r="D805" s="20">
        <f t="shared" si="39"/>
        <v>0</v>
      </c>
      <c r="E805" s="20">
        <f t="shared" si="39"/>
        <v>0</v>
      </c>
      <c r="F805" s="20">
        <f t="shared" si="39"/>
        <v>0</v>
      </c>
      <c r="G805" s="21">
        <f t="shared" si="39"/>
        <v>0</v>
      </c>
      <c r="H805" s="15">
        <f t="shared" si="39"/>
        <v>546067500</v>
      </c>
      <c r="I805" s="15">
        <f t="shared" si="39"/>
        <v>856072600</v>
      </c>
      <c r="J805" s="15">
        <f t="shared" si="39"/>
        <v>2523368499</v>
      </c>
      <c r="K805" s="15">
        <f t="shared" si="39"/>
        <v>1682084400</v>
      </c>
      <c r="L805" s="15">
        <f t="shared" si="39"/>
        <v>8674865700</v>
      </c>
      <c r="M805" s="15">
        <f t="shared" si="39"/>
        <v>8217154800</v>
      </c>
      <c r="N805" s="15">
        <f t="shared" si="39"/>
        <v>59500000</v>
      </c>
    </row>
  </sheetData>
  <mergeCells count="5">
    <mergeCell ref="A1:G1"/>
    <mergeCell ref="H1:I1"/>
    <mergeCell ref="J1:K1"/>
    <mergeCell ref="L1:N1"/>
    <mergeCell ref="A805:G805"/>
  </mergeCells>
  <pageMargins left="0.7" right="0.7" top="0.75" bottom="0.75" header="0.3" footer="0.3"/>
  <pageSetup paperSize="9" orientation="portrait" horizontalDpi="300" verticalDpi="30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8"/>
  <sheetViews>
    <sheetView showGridLines="0" workbookViewId="0">
      <selection activeCell="E21" sqref="E21"/>
    </sheetView>
  </sheetViews>
  <sheetFormatPr defaultColWidth="11.5546875" defaultRowHeight="14.4" x14ac:dyDescent="0.3"/>
  <cols>
    <col min="1" max="1" width="5" customWidth="1"/>
    <col min="2" max="2" width="10.44140625" customWidth="1"/>
    <col min="3" max="3" width="9.6640625" customWidth="1"/>
    <col min="4" max="4" width="10.21875" customWidth="1"/>
    <col min="5" max="5" width="10.44140625" customWidth="1"/>
    <col min="6" max="6" width="11.21875" customWidth="1"/>
    <col min="7" max="7" width="10.44140625" customWidth="1"/>
    <col min="8" max="10" width="10.88671875" customWidth="1"/>
  </cols>
  <sheetData>
    <row r="1" spans="1:22" ht="16.5" customHeight="1" x14ac:dyDescent="0.4">
      <c r="A1" s="6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</row>
    <row r="2" spans="1:22" ht="16.5" customHeight="1" x14ac:dyDescent="0.4">
      <c r="A2" s="22" t="s">
        <v>5</v>
      </c>
      <c r="B2" s="22"/>
      <c r="C2" s="22"/>
      <c r="D2" s="22"/>
      <c r="E2" s="4"/>
      <c r="G2" s="7"/>
      <c r="H2" s="7"/>
      <c r="I2" s="22" t="s">
        <v>0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</row>
    <row r="3" spans="1:22" ht="16.5" customHeight="1" x14ac:dyDescent="0.4">
      <c r="A3" s="6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</row>
    <row r="4" spans="1:22" ht="37.5" customHeight="1" x14ac:dyDescent="0.4">
      <c r="A4" s="13" t="s">
        <v>110</v>
      </c>
      <c r="B4" s="13" t="s">
        <v>111</v>
      </c>
      <c r="C4" s="13" t="s">
        <v>112</v>
      </c>
      <c r="D4" s="13" t="s">
        <v>113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</row>
    <row r="5" spans="1:22" ht="16.5" customHeight="1" x14ac:dyDescent="0.4">
      <c r="A5" s="2" t="s">
        <v>114</v>
      </c>
      <c r="B5" s="3">
        <v>425</v>
      </c>
      <c r="C5" s="3">
        <v>87</v>
      </c>
      <c r="D5" s="3">
        <v>483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</row>
    <row r="6" spans="1:22" ht="16.5" customHeight="1" x14ac:dyDescent="0.4">
      <c r="A6" s="2" t="s">
        <v>115</v>
      </c>
      <c r="B6" s="3">
        <v>439</v>
      </c>
      <c r="C6" s="3">
        <v>93</v>
      </c>
      <c r="D6" s="3">
        <v>494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</row>
    <row r="7" spans="1:22" ht="16.5" customHeight="1" x14ac:dyDescent="0.4">
      <c r="A7" s="2" t="s">
        <v>116</v>
      </c>
      <c r="B7" s="3">
        <v>407</v>
      </c>
      <c r="C7" s="3">
        <v>85</v>
      </c>
      <c r="D7" s="3">
        <v>465</v>
      </c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</row>
    <row r="8" spans="1:22" ht="16.5" customHeight="1" x14ac:dyDescent="0.4">
      <c r="A8" s="2" t="s">
        <v>117</v>
      </c>
      <c r="B8" s="3">
        <v>377</v>
      </c>
      <c r="C8" s="3">
        <v>78</v>
      </c>
      <c r="D8" s="3">
        <v>434</v>
      </c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</row>
    <row r="9" spans="1:22" ht="16.5" customHeight="1" x14ac:dyDescent="0.4">
      <c r="A9" s="2" t="s">
        <v>118</v>
      </c>
      <c r="B9" s="3">
        <v>362</v>
      </c>
      <c r="C9" s="3">
        <v>56</v>
      </c>
      <c r="D9" s="3">
        <v>401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</row>
    <row r="10" spans="1:22" ht="16.5" customHeight="1" x14ac:dyDescent="0.4">
      <c r="A10" s="6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</row>
    <row r="11" spans="1:22" ht="16.5" customHeight="1" x14ac:dyDescent="0.4">
      <c r="A11" s="22" t="s">
        <v>6</v>
      </c>
      <c r="B11" s="22"/>
      <c r="C11" s="22"/>
      <c r="D11" s="22"/>
      <c r="E11" s="22"/>
      <c r="F11" s="22"/>
      <c r="G11" s="22"/>
      <c r="H11" s="4"/>
      <c r="I11" s="22" t="s">
        <v>4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/>
    </row>
    <row r="12" spans="1:22" ht="16.5" customHeight="1" x14ac:dyDescent="0.4">
      <c r="A12" s="6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</row>
    <row r="13" spans="1:22" ht="37.5" customHeight="1" x14ac:dyDescent="0.4">
      <c r="A13" s="13" t="s">
        <v>110</v>
      </c>
      <c r="B13" s="13" t="s">
        <v>64</v>
      </c>
      <c r="C13" s="13" t="s">
        <v>63</v>
      </c>
      <c r="D13" s="13" t="s">
        <v>62</v>
      </c>
      <c r="E13" s="13" t="s">
        <v>61</v>
      </c>
      <c r="F13" s="13" t="s">
        <v>119</v>
      </c>
      <c r="G13" s="13" t="s">
        <v>120</v>
      </c>
      <c r="H13" s="8" t="s">
        <v>1</v>
      </c>
      <c r="I13" s="8" t="s">
        <v>2</v>
      </c>
      <c r="J13" s="8" t="s">
        <v>3</v>
      </c>
      <c r="K13" s="4"/>
      <c r="L13" s="4"/>
      <c r="M13" s="4"/>
      <c r="N13" s="4"/>
      <c r="O13" s="4"/>
      <c r="P13" s="4"/>
      <c r="Q13" s="4"/>
      <c r="R13" s="4"/>
    </row>
    <row r="14" spans="1:22" x14ac:dyDescent="0.3">
      <c r="A14" s="5" t="s">
        <v>114</v>
      </c>
      <c r="B14" s="14">
        <v>2335899373</v>
      </c>
      <c r="C14" s="14">
        <v>3899979904</v>
      </c>
      <c r="D14" s="14">
        <v>1572182200</v>
      </c>
      <c r="E14" s="14">
        <v>960271000</v>
      </c>
      <c r="F14" s="14">
        <v>3908081573</v>
      </c>
      <c r="G14" s="14">
        <v>4860250904</v>
      </c>
      <c r="H14" s="1">
        <f>B14+C14</f>
        <v>6235879277</v>
      </c>
      <c r="I14" s="1">
        <f>D14+E14</f>
        <v>2532453200</v>
      </c>
      <c r="J14" s="1">
        <f>F14+G14</f>
        <v>8768332477</v>
      </c>
    </row>
    <row r="15" spans="1:22" x14ac:dyDescent="0.3">
      <c r="A15" s="5" t="s">
        <v>115</v>
      </c>
      <c r="B15" s="14">
        <v>2636365428</v>
      </c>
      <c r="C15" s="14">
        <v>3795789440</v>
      </c>
      <c r="D15" s="14">
        <v>1503222100</v>
      </c>
      <c r="E15" s="14">
        <v>1032799300</v>
      </c>
      <c r="F15" s="14">
        <v>4139587528</v>
      </c>
      <c r="G15" s="14">
        <v>4828588740</v>
      </c>
      <c r="H15" s="1">
        <f t="shared" ref="H15:H18" si="0">B15+C15</f>
        <v>6432154868</v>
      </c>
      <c r="I15" s="1">
        <f t="shared" ref="I15:I18" si="1">D15+E15</f>
        <v>2536021400</v>
      </c>
      <c r="J15" s="1">
        <f t="shared" ref="J15:J18" si="2">F15+G15</f>
        <v>8968176268</v>
      </c>
    </row>
    <row r="16" spans="1:22" x14ac:dyDescent="0.3">
      <c r="A16" s="5" t="s">
        <v>116</v>
      </c>
      <c r="B16" s="14">
        <v>2462070994</v>
      </c>
      <c r="C16" s="14">
        <v>4195911529</v>
      </c>
      <c r="D16" s="14">
        <v>1843223100</v>
      </c>
      <c r="E16" s="14">
        <v>1072542000</v>
      </c>
      <c r="F16" s="14">
        <v>4305294094</v>
      </c>
      <c r="G16" s="14">
        <v>5268453529</v>
      </c>
      <c r="H16" s="1">
        <f t="shared" si="0"/>
        <v>6657982523</v>
      </c>
      <c r="I16" s="1">
        <f t="shared" si="1"/>
        <v>2915765100</v>
      </c>
      <c r="J16" s="1">
        <f t="shared" si="2"/>
        <v>9573747623</v>
      </c>
    </row>
    <row r="17" spans="1:10" x14ac:dyDescent="0.3">
      <c r="A17" s="5" t="s">
        <v>117</v>
      </c>
      <c r="B17" s="14">
        <v>2257966837</v>
      </c>
      <c r="C17" s="14">
        <v>3548155869</v>
      </c>
      <c r="D17" s="14">
        <v>1665572300</v>
      </c>
      <c r="E17" s="14">
        <v>911310700</v>
      </c>
      <c r="F17" s="14">
        <v>3923539137</v>
      </c>
      <c r="G17" s="14">
        <v>4459466569</v>
      </c>
      <c r="H17" s="1">
        <f t="shared" si="0"/>
        <v>5806122706</v>
      </c>
      <c r="I17" s="1">
        <f t="shared" si="1"/>
        <v>2576883000</v>
      </c>
      <c r="J17" s="1">
        <f t="shared" si="2"/>
        <v>8383005706</v>
      </c>
    </row>
    <row r="18" spans="1:10" x14ac:dyDescent="0.3">
      <c r="A18" s="5" t="s">
        <v>118</v>
      </c>
      <c r="B18" s="14">
        <v>1682084400</v>
      </c>
      <c r="C18" s="14">
        <v>2523368499</v>
      </c>
      <c r="D18" s="14">
        <v>856072600</v>
      </c>
      <c r="E18" s="14">
        <v>546067500</v>
      </c>
      <c r="F18" s="14">
        <v>2538157000</v>
      </c>
      <c r="G18" s="14">
        <v>3069435999</v>
      </c>
      <c r="H18" s="1">
        <f t="shared" si="0"/>
        <v>4205452899</v>
      </c>
      <c r="I18" s="1">
        <f t="shared" si="1"/>
        <v>1402140100</v>
      </c>
      <c r="J18" s="1">
        <f t="shared" si="2"/>
        <v>5607592999</v>
      </c>
    </row>
  </sheetData>
  <mergeCells count="4">
    <mergeCell ref="A2:D2"/>
    <mergeCell ref="I2:V2"/>
    <mergeCell ref="I11:V11"/>
    <mergeCell ref="A11:G11"/>
  </mergeCells>
  <pageMargins left="0.7" right="0.7" top="0.75" bottom="0.75" header="0.3" footer="0.3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recap_rz</vt:lpstr>
      <vt:lpstr>details_appro_rz</vt:lpstr>
      <vt:lpstr>details_cp</vt:lpstr>
      <vt:lpstr>Weekly Evolution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mv-remi</dc:creator>
  <cp:lastModifiedBy>Mahay Finaritra Rakotonoely</cp:lastModifiedBy>
  <dcterms:created xsi:type="dcterms:W3CDTF">2025-06-12T12:13:19Z</dcterms:created>
  <dcterms:modified xsi:type="dcterms:W3CDTF">2026-02-03T13:09:54Z</dcterms:modified>
</cp:coreProperties>
</file>